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Marine_Raw" sheetId="2" state="visible" r:id="rId2"/>
    <sheet name="Rail_Raw" sheetId="3" state="visible" r:id="rId3"/>
    <sheet name="Road_Raw" sheetId="4" state="visible" r:id="rId4"/>
    <sheet name="T1 Detective" sheetId="5" state="visible" r:id="rId5"/>
    <sheet name="T2 Stovepipes" sheetId="6" state="visible" r:id="rId6"/>
    <sheet name="T3a Marine_Stg" sheetId="7" state="visible" r:id="rId7"/>
    <sheet name="T3b Rail_Stg" sheetId="8" state="visible" r:id="rId8"/>
    <sheet name="T3c Road_Stg" sheetId="9" state="visible" r:id="rId9"/>
    <sheet name="T4 Reconcile" sheetId="10" state="visible" r:id="rId10"/>
    <sheet name="T5 Lineage" sheetId="11" state="visible" r:id="rId11"/>
    <sheet name="T6 Bus Matrix" sheetId="12" state="visible" r:id="rId12"/>
    <sheet name="T7 Inmon or Kimball" sheetId="13" state="visible" r:id="rId13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\+#,##0.00;\-#,##0.00;0.00"/>
    <numFmt numFmtId="166" formatCode="#,##0.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2545"/>
      <sz val="16"/>
    </font>
    <font>
      <name val="Arial"/>
      <charset val="1"/>
      <family val="0"/>
      <i val="1"/>
      <color rgb="FF4B5563"/>
      <sz val="10"/>
    </font>
    <font>
      <name val="Arial"/>
      <charset val="1"/>
      <family val="0"/>
      <b val="1"/>
      <color rgb="FF0B2545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10"/>
    </font>
    <font>
      <name val="Arial"/>
      <charset val="1"/>
      <family val="0"/>
      <color rgb="FF6B728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color rgb="FF6B7280"/>
      <sz val="11"/>
    </font>
    <font>
      <name val="Arial"/>
      <charset val="1"/>
      <family val="0"/>
      <b val="1"/>
      <color rgb="FF00A6A6"/>
      <sz val="11"/>
    </font>
    <font>
      <name val="Arial"/>
      <charset val="1"/>
      <family val="0"/>
      <i val="1"/>
      <color rgb="FF6B7280"/>
      <sz val="9"/>
    </font>
  </fonts>
  <fills count="11">
    <fill>
      <patternFill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E6F6F6"/>
      </patternFill>
    </fill>
    <fill>
      <patternFill patternType="solid">
        <fgColor rgb="FFC6EFCE"/>
        <bgColor rgb="FFE3EDF7"/>
      </patternFill>
    </fill>
    <fill>
      <patternFill patternType="solid">
        <fgColor rgb="FFFFC7CE"/>
        <bgColor rgb="FFC8CFD8"/>
      </patternFill>
    </fill>
    <fill>
      <patternFill patternType="solid">
        <fgColor rgb="FF6B7280"/>
        <bgColor rgb="FF808080"/>
      </patternFill>
    </fill>
    <fill>
      <patternFill patternType="solid">
        <fgColor rgb="FFE6F6F6"/>
        <bgColor rgb="FFE3EDF7"/>
      </patternFill>
    </fill>
    <fill>
      <patternFill patternType="solid">
        <fgColor rgb="FF00A6A6"/>
        <bgColor rgb="FF008080"/>
      </patternFill>
    </fill>
    <fill>
      <patternFill patternType="solid">
        <fgColor rgb="FFE3EDF7"/>
        <bgColor rgb="FFE6F6F6"/>
      </patternFill>
    </fill>
  </fills>
  <borders count="6">
    <border>
      <left/>
      <right/>
      <top/>
      <bottom/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  <border>
      <left/>
      <right/>
      <top style="thin">
        <color rgb="FFC8CFD8"/>
      </top>
      <bottom/>
      <diagonal/>
    </border>
    <border>
      <left/>
      <right style="thin">
        <color rgb="FFC8CFD8"/>
      </right>
      <top style="thin">
        <color rgb="FFC8CFD8"/>
      </top>
      <bottom/>
      <diagonal/>
    </border>
    <border>
      <left/>
      <right/>
      <top style="thin">
        <color rgb="FFC8CFD8"/>
      </top>
      <bottom style="thin">
        <color rgb="FFC8CFD8"/>
      </bottom>
      <diagonal/>
    </border>
    <border>
      <left/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top"/>
    </xf>
    <xf numFmtId="3" fontId="9" fillId="4" borderId="1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top"/>
    </xf>
    <xf numFmtId="2" fontId="9" fillId="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right" vertical="top" wrapText="1"/>
    </xf>
    <xf numFmtId="4" fontId="9" fillId="3" borderId="1" applyAlignment="1" pivotButton="0" quotePrefix="0" xfId="0">
      <alignment horizontal="general" vertical="top" wrapText="1"/>
    </xf>
    <xf numFmtId="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3" fontId="14" fillId="8" borderId="1" applyAlignment="1" pivotButton="0" quotePrefix="0" xfId="0">
      <alignment horizontal="general" vertical="top" wrapText="1"/>
    </xf>
    <xf numFmtId="4" fontId="10" fillId="8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164" fontId="9" fillId="3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0" fontId="9" fillId="3" borderId="1" applyAlignment="1" pivotButton="0" quotePrefix="0" xfId="0">
      <alignment horizontal="general" vertical="top"/>
    </xf>
    <xf numFmtId="0" fontId="9" fillId="8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3" borderId="1" applyAlignment="1" pivotButton="0" quotePrefix="0" xfId="0">
      <alignment horizontal="general" vertical="top"/>
    </xf>
    <xf numFmtId="0" fontId="8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4" fontId="10" fillId="0" borderId="1" applyAlignment="1" pivotButton="0" quotePrefix="0" xfId="0">
      <alignment horizontal="general" vertical="top" wrapText="1"/>
    </xf>
    <xf numFmtId="4" fontId="14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top"/>
    </xf>
    <xf numFmtId="3" fontId="9" fillId="4" borderId="1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top"/>
    </xf>
    <xf numFmtId="2" fontId="9" fillId="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right" vertical="top" wrapText="1"/>
    </xf>
    <xf numFmtId="4" fontId="9" fillId="3" borderId="1" applyAlignment="1" pivotButton="0" quotePrefix="0" xfId="0">
      <alignment horizontal="general" vertical="top" wrapText="1"/>
    </xf>
    <xf numFmtId="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3" fontId="14" fillId="8" borderId="1" applyAlignment="1" pivotButton="0" quotePrefix="0" xfId="0">
      <alignment horizontal="general" vertical="top" wrapText="1"/>
    </xf>
    <xf numFmtId="4" fontId="10" fillId="8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164" fontId="9" fillId="3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0" fontId="9" fillId="3" borderId="1" applyAlignment="1" pivotButton="0" quotePrefix="0" xfId="0">
      <alignment horizontal="general" vertical="top"/>
    </xf>
    <xf numFmtId="0" fontId="9" fillId="8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3" borderId="1" applyAlignment="1" pivotButton="0" quotePrefix="0" xfId="0">
      <alignment horizontal="general" vertical="top"/>
    </xf>
    <xf numFmtId="0" fontId="8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4" fontId="10" fillId="0" borderId="1" applyAlignment="1" pivotButton="0" quotePrefix="0" xfId="0">
      <alignment horizontal="general" vertical="top" wrapText="1"/>
    </xf>
    <xf numFmtId="4" fontId="14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3F4F6"/>
      <rgbColor rgb="FFE6F6F6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DF7"/>
      <rgbColor rgb="FFC6EFCE"/>
      <rgbColor rgb="FFFFF59D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B2545"/>
      <rgbColor rgb="FF339966"/>
      <rgbColor rgb="FF003300"/>
      <rgbColor rgb="FF333300"/>
      <rgbColor rgb="FF993300"/>
      <rgbColor rgb="FF993366"/>
      <rgbColor rgb="FF333399"/>
      <rgbColor rgb="FF4B556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C9" authorId="0" shapeId="0">
      <text>
        <t>Hard-coded: the official total from the lab files (slides 17 &amp; 39). Task 4 proves it.</t>
      </text>
    </comment>
  </commentList>
</comments>
</file>

<file path=xl/comments/comment2.xml><?xml version="1.0" encoding="utf-8"?>
<comments xmlns="http://schemas.openxmlformats.org/spreadsheetml/2006/main">
  <authors>
    <author>Copilot</author>
  </authors>
  <commentList>
    <comment ref="I4" authorId="0" shapeId="0">
      <text>
        <t>Formula source: Marine_Raw Ship_Date text dd/mm/yyyy; builds a real Excel date.</t>
      </text>
    </comment>
  </commentList>
</comments>
</file>

<file path=xl/comments/comment3.xml><?xml version="1.0" encoding="utf-8"?>
<comments xmlns="http://schemas.openxmlformats.org/spreadsheetml/2006/main">
  <authors>
    <author>Copilot</author>
  </authors>
  <commentList>
    <comment ref="L4" authorId="0" shapeId="0">
      <text>
        <t>Formula source: Rail_Raw Weight (Tons); converts tons to canonical kilograms.</t>
      </text>
    </comment>
  </commentList>
</comments>
</file>

<file path=xl/comments/comment4.xml><?xml version="1.0" encoding="utf-8"?>
<comments xmlns="http://schemas.openxmlformats.org/spreadsheetml/2006/main">
  <authors>
    <author>Copilot</author>
  </authors>
  <commentList>
    <comment ref="P4" authorId="0" shapeId="0">
      <text>
        <t>Formula source: Road_Raw; keeps first shipment ID occurrence and rejects blank/TOTAL/duplicates.</t>
      </text>
    </comment>
  </commentList>
</comments>
</file>

<file path=xl/comments/comment5.xml><?xml version="1.0" encoding="utf-8"?>
<comments xmlns="http://schemas.openxmlformats.org/spreadsheetml/2006/main">
  <authors>
    <author>Copilot</author>
  </authors>
  <commentList>
    <comment ref="F10" authorId="0" shapeId="0">
      <text>
        <t>Formula source: integrated staging WeightKG totals; canonical dashboard total in tonnes.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tabColor rgb="FF00A6A6"/>
    <outlinePr summaryBelow="1" summaryRight="1"/>
    <pageSetUpPr fitToPage="1"/>
  </sheetPr>
  <dimension ref="A1:F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55" min="1" max="1"/>
    <col width="46" customWidth="1" style="55" min="2" max="2"/>
    <col width="22" customWidth="1" style="55" min="3" max="3"/>
    <col width="40" customWidth="1" style="55" min="4" max="4"/>
    <col width="13" customWidth="1" style="55" min="5" max="5"/>
    <col width="34" customWidth="1" style="55" min="6" max="6"/>
  </cols>
  <sheetData>
    <row r="1" ht="27.75" customHeight="1" s="56">
      <c r="A1" s="57" t="inlineStr">
        <is>
          <t>PakFreight Data Detective — Week 2 Activity</t>
        </is>
      </c>
    </row>
    <row r="2" ht="43.5" customHeight="1" s="56">
      <c r="A2" s="58" t="inlineStr">
        <is>
          <t>Data Warehousing &amp; BI · Week 2 — DW Lifecycle &amp; Architecture. PakFreight has three shipment systems (Marine, Rail, Road). Every department reports a different total tonnage. Your team will find out why, fix it in a staging area, and prove the one true number.</t>
        </is>
      </c>
    </row>
    <row r="4" ht="15" customHeight="1" s="56">
      <c r="A4" s="59" t="inlineStr">
        <is>
          <t>How to work</t>
        </is>
      </c>
    </row>
    <row r="5" ht="27.75" customHeight="1" s="56">
      <c r="A5" s="60" t="inlineStr">
        <is>
          <t>•</t>
        </is>
      </c>
      <c r="B5" s="61" t="inlineStr">
        <is>
          <t>Work in teams of 3. Name one person each: Operations, Finance, Sales (needed in Task 2).</t>
        </is>
      </c>
    </row>
    <row r="6" ht="27.75" customHeight="1" s="56">
      <c r="A6" s="60" t="inlineStr">
        <is>
          <t>•</t>
        </is>
      </c>
      <c r="B6" s="61" t="inlineStr">
        <is>
          <t>Do the tasks in order — each tab is named T1, T2 … The minutes are a guide; your teacher will call time.</t>
        </is>
      </c>
    </row>
    <row r="7" ht="27.75" customHeight="1" s="56">
      <c r="A7" s="60" t="inlineStr">
        <is>
          <t>•</t>
        </is>
      </c>
      <c r="B7" s="61" t="inlineStr">
        <is>
          <t>Only type in YELLOW cells. GREY cells are raw data as received — never edit them (that is the point of staging!).</t>
        </is>
      </c>
    </row>
    <row r="8" ht="27.75" customHeight="1" s="56">
      <c r="A8" s="60" t="inlineStr">
        <is>
          <t>•</t>
        </is>
      </c>
      <c r="B8" s="61" t="inlineStr">
        <is>
          <t>Task 4 checks your work automatically: every ✘ means something in Task 3 is still wrong.</t>
        </is>
      </c>
    </row>
    <row r="9" ht="27.75" customHeight="1" s="56">
      <c r="A9" s="60" t="inlineStr">
        <is>
          <t>•</t>
        </is>
      </c>
      <c r="B9" s="61" t="inlineStr">
        <is>
          <t>Task 8 (draw Inmon vs Kimball) is done on paper — see the slide 'Your Turn: Draw Both Architectures'.</t>
        </is>
      </c>
    </row>
    <row r="10" ht="27.75" customHeight="1" s="56">
      <c r="A10" s="60" t="inlineStr">
        <is>
          <t>•</t>
        </is>
      </c>
      <c r="B10" s="61" t="inlineStr">
        <is>
          <t>Save the file as Team_&lt;number&gt;.xlsx and submit it with a photo of your drawing.</t>
        </is>
      </c>
    </row>
    <row r="12" ht="15" customHeight="1" s="56">
      <c r="A12" s="59" t="inlineStr">
        <is>
          <t>Plan</t>
        </is>
      </c>
    </row>
    <row r="13" ht="31.5" customHeight="1" s="56">
      <c r="A13" s="62" t="inlineStr">
        <is>
          <t>#</t>
        </is>
      </c>
      <c r="B13" s="62" t="inlineStr">
        <is>
          <t>Task</t>
        </is>
      </c>
      <c r="C13" s="62" t="inlineStr">
        <is>
          <t>Tab</t>
        </is>
      </c>
      <c r="D13" s="62" t="inlineStr">
        <is>
          <t>60-min class</t>
        </is>
      </c>
      <c r="E13" s="62" t="inlineStr">
        <is>
          <t>45-min class</t>
        </is>
      </c>
      <c r="F13" s="62" t="inlineStr">
        <is>
          <t>Concept from the slides</t>
        </is>
      </c>
    </row>
    <row r="14" ht="15" customHeight="1" s="56">
      <c r="A14" s="63" t="inlineStr">
        <is>
          <t>0</t>
        </is>
      </c>
      <c r="B14" s="64" t="inlineStr">
        <is>
          <t>Teacher intro: the '3 different totals' problem</t>
        </is>
      </c>
      <c r="C14" s="64" t="inlineStr">
        <is>
          <t>—</t>
        </is>
      </c>
      <c r="D14" s="63" t="n">
        <v>5</v>
      </c>
      <c r="E14" s="63" t="n">
        <v>3</v>
      </c>
      <c r="F14" s="64" t="inlineStr">
        <is>
          <t>Slide 17 stovepipes</t>
        </is>
      </c>
    </row>
    <row r="15" ht="15" customHeight="1" s="56">
      <c r="A15" s="63" t="inlineStr">
        <is>
          <t>1</t>
        </is>
      </c>
      <c r="B15" s="64" t="inlineStr">
        <is>
          <t>Data Detective — log every problem in the raw files</t>
        </is>
      </c>
      <c r="C15" s="64" t="inlineStr">
        <is>
          <t>T1 Detective</t>
        </is>
      </c>
      <c r="D15" s="63" t="n">
        <v>8</v>
      </c>
      <c r="E15" s="63" t="n">
        <v>6</v>
      </c>
      <c r="F15" s="64" t="inlineStr">
        <is>
          <t>Staging: profile before load</t>
        </is>
      </c>
    </row>
    <row r="16" ht="23.85" customHeight="1" s="56">
      <c r="A16" s="63" t="inlineStr">
        <is>
          <t>2</t>
        </is>
      </c>
      <c r="B16" s="64" t="inlineStr">
        <is>
          <t>Stovepipe Game — each department computes its own total</t>
        </is>
      </c>
      <c r="C16" s="64" t="inlineStr">
        <is>
          <t>T2 Stovepipes</t>
        </is>
      </c>
      <c r="D16" s="63" t="n">
        <v>7</v>
      </c>
      <c r="E16" s="63" t="n">
        <v>5</v>
      </c>
      <c r="F16" s="64" t="inlineStr">
        <is>
          <t>Independent vs dependent marts</t>
        </is>
      </c>
    </row>
    <row r="17" ht="15" customHeight="1" s="56">
      <c r="A17" s="63" t="inlineStr">
        <is>
          <t>3</t>
        </is>
      </c>
      <c r="B17" s="64" t="inlineStr">
        <is>
          <t>Clean the 3 files in staging with formulas</t>
        </is>
      </c>
      <c r="C17" s="64" t="inlineStr">
        <is>
          <t>T3a / T3b / T3c</t>
        </is>
      </c>
      <c r="D17" s="63" t="n">
        <v>15</v>
      </c>
      <c r="E17" s="63" t="n">
        <v>12</v>
      </c>
      <c r="F17" s="64" t="inlineStr">
        <is>
          <t>Staging transformations</t>
        </is>
      </c>
    </row>
    <row r="18" ht="15" customHeight="1" s="56">
      <c r="A18" s="63" t="inlineStr">
        <is>
          <t>4</t>
        </is>
      </c>
      <c r="B18" s="64" t="inlineStr">
        <is>
          <t>Reconcile — prove 34 rows and 578,650 kg</t>
        </is>
      </c>
      <c r="C18" s="64" t="inlineStr">
        <is>
          <t>T4 Reconcile</t>
        </is>
      </c>
      <c r="D18" s="63" t="n">
        <v>3</v>
      </c>
      <c r="E18" s="63" t="n">
        <v>3</v>
      </c>
      <c r="F18" s="64" t="inlineStr">
        <is>
          <t>Validate before you trust</t>
        </is>
      </c>
    </row>
    <row r="19" ht="23.85" customHeight="1" s="56">
      <c r="A19" s="63" t="inlineStr">
        <is>
          <t>5</t>
        </is>
      </c>
      <c r="B19" s="64" t="inlineStr">
        <is>
          <t>Trace the lineage of one number</t>
        </is>
      </c>
      <c r="C19" s="64" t="inlineStr">
        <is>
          <t>T5 Lineage</t>
        </is>
      </c>
      <c r="D19" s="63" t="n">
        <v>5</v>
      </c>
      <c r="E19" s="63" t="n">
        <v>0</v>
      </c>
      <c r="F19" s="64" t="inlineStr">
        <is>
          <t>Lineage (slide 29) — homework in 45-min version</t>
        </is>
      </c>
    </row>
    <row r="20" ht="15" customHeight="1" s="56">
      <c r="A20" s="63" t="inlineStr">
        <is>
          <t>6</t>
        </is>
      </c>
      <c r="B20" s="64" t="inlineStr">
        <is>
          <t>Kimball Bus Matrix</t>
        </is>
      </c>
      <c r="C20" s="64" t="inlineStr">
        <is>
          <t>T6 Bus Matrix</t>
        </is>
      </c>
      <c r="D20" s="63" t="n">
        <v>7</v>
      </c>
      <c r="E20" s="63" t="n">
        <v>6</v>
      </c>
      <c r="F20" s="64" t="inlineStr">
        <is>
          <t>Conformed dimensions</t>
        </is>
      </c>
    </row>
    <row r="21" ht="15" customHeight="1" s="56">
      <c r="A21" s="63" t="inlineStr">
        <is>
          <t>7</t>
        </is>
      </c>
      <c r="B21" s="64" t="inlineStr">
        <is>
          <t>Inmon or Kimball? — 10 scenarios</t>
        </is>
      </c>
      <c r="C21" s="64" t="inlineStr">
        <is>
          <t>T7 Inmon or Kimball</t>
        </is>
      </c>
      <c r="D21" s="63" t="n">
        <v>5</v>
      </c>
      <c r="E21" s="63" t="n">
        <v>5</v>
      </c>
      <c r="F21" s="64" t="inlineStr">
        <is>
          <t>Top-down vs bottom-up</t>
        </is>
      </c>
    </row>
    <row r="22" ht="15" customHeight="1" s="56">
      <c r="A22" s="63" t="inlineStr">
        <is>
          <t>8</t>
        </is>
      </c>
      <c r="B22" s="64" t="inlineStr">
        <is>
          <t>Draw both architectures (paper)</t>
        </is>
      </c>
      <c r="C22" s="64" t="inlineStr">
        <is>
          <t>Slide 20c</t>
        </is>
      </c>
      <c r="D22" s="63" t="n">
        <v>5</v>
      </c>
      <c r="E22" s="63" t="n">
        <v>5</v>
      </c>
      <c r="F22" s="64" t="inlineStr">
        <is>
          <t>Inmon CIF vs Kimball bus</t>
        </is>
      </c>
    </row>
    <row r="23" ht="15" customHeight="1" s="56">
      <c r="B23" s="65" t="inlineStr">
        <is>
          <t>Total minutes</t>
        </is>
      </c>
      <c r="D23" s="66">
        <f>SUM(D14:D22)</f>
        <v/>
      </c>
      <c r="E23" s="66">
        <f>SUM(E14:E22)</f>
        <v/>
      </c>
    </row>
    <row r="25" ht="15" customHeight="1" s="56">
      <c r="A25" s="59" t="inlineStr">
        <is>
          <t>Colour legend</t>
        </is>
      </c>
    </row>
    <row r="26" ht="15" customHeight="1" s="56">
      <c r="A26" s="67" t="n"/>
      <c r="B26" s="64" t="inlineStr">
        <is>
          <t>You type here</t>
        </is>
      </c>
    </row>
    <row r="27" ht="15" customHeight="1" s="56">
      <c r="A27" s="68" t="n"/>
      <c r="B27" s="64" t="inlineStr">
        <is>
          <t>Raw data — do not edit</t>
        </is>
      </c>
    </row>
    <row r="28" ht="15" customHeight="1" s="56">
      <c r="A28" s="69" t="n"/>
      <c r="B28" s="64" t="inlineStr">
        <is>
          <t>✔ check passed</t>
        </is>
      </c>
    </row>
    <row r="29" ht="15" customHeight="1" s="56">
      <c r="A29" s="70" t="n"/>
      <c r="B29" s="64" t="inlineStr">
        <is>
          <t>✘ check failed — go back and fix</t>
        </is>
      </c>
    </row>
    <row r="31" ht="15" customHeight="1" s="56">
      <c r="A31" s="59" t="inlineStr">
        <is>
          <t>The data contract (target schema)</t>
        </is>
      </c>
    </row>
    <row r="32" ht="31.5" customHeight="1" s="56">
      <c r="A32" s="62" t="inlineStr">
        <is>
          <t>Column</t>
        </is>
      </c>
      <c r="B32" s="62" t="inlineStr">
        <is>
          <t>Type</t>
        </is>
      </c>
      <c r="C32" s="62" t="inlineStr">
        <is>
          <t>Rule</t>
        </is>
      </c>
      <c r="D32" s="62" t="inlineStr">
        <is>
          <t>Example</t>
        </is>
      </c>
    </row>
    <row r="33" ht="23.85" customHeight="1" s="56">
      <c r="A33" s="64" t="inlineStr">
        <is>
          <t>ShipmentID</t>
        </is>
      </c>
      <c r="B33" s="64" t="inlineStr">
        <is>
          <t>Text</t>
        </is>
      </c>
      <c r="C33" s="64" t="inlineStr">
        <is>
          <t>Not blank · unique · prefix MR- / RL- / RD-</t>
        </is>
      </c>
      <c r="D33" s="64" t="inlineStr">
        <is>
          <t>RL-45012</t>
        </is>
      </c>
    </row>
    <row r="34" ht="15" customHeight="1" s="56">
      <c r="A34" s="64" t="inlineStr">
        <is>
          <t>ShipDate</t>
        </is>
      </c>
      <c r="B34" s="64" t="inlineStr">
        <is>
          <t>Date</t>
        </is>
      </c>
      <c r="C34" s="64" t="inlineStr">
        <is>
          <t>Real date (dd-mmm-yyyy)</t>
        </is>
      </c>
      <c r="D34" s="64" t="inlineStr">
        <is>
          <t>03-Feb-2026</t>
        </is>
      </c>
    </row>
    <row r="35" ht="15" customHeight="1" s="56">
      <c r="A35" s="64" t="inlineStr">
        <is>
          <t>Origin</t>
        </is>
      </c>
      <c r="B35" s="64" t="inlineStr">
        <is>
          <t>Text</t>
        </is>
      </c>
      <c r="C35" s="64" t="n"/>
      <c r="D35" s="64" t="n"/>
    </row>
    <row r="36" ht="15" customHeight="1" s="56">
      <c r="A36" s="64" t="inlineStr">
        <is>
          <t>Destination</t>
        </is>
      </c>
      <c r="B36" s="64" t="inlineStr">
        <is>
          <t>Text</t>
        </is>
      </c>
      <c r="C36" s="64" t="n"/>
      <c r="D36" s="64" t="n"/>
    </row>
    <row r="37" ht="15" customHeight="1" s="56">
      <c r="A37" s="64" t="inlineStr">
        <is>
          <t>WeightKG</t>
        </is>
      </c>
      <c r="B37" s="64" t="inlineStr">
        <is>
          <t>Number</t>
        </is>
      </c>
      <c r="C37" s="64" t="inlineStr">
        <is>
          <t>&gt; 0 · kilograms only</t>
        </is>
      </c>
      <c r="D37" s="64" t="inlineStr">
        <is>
          <t>32,500</t>
        </is>
      </c>
    </row>
    <row r="38" ht="15" customHeight="1" s="56">
      <c r="A38" s="64" t="inlineStr">
        <is>
          <t>CostPKR</t>
        </is>
      </c>
      <c r="B38" s="64" t="inlineStr">
        <is>
          <t>Number</t>
        </is>
      </c>
      <c r="C38" s="64" t="inlineStr">
        <is>
          <t>&gt; 0</t>
        </is>
      </c>
      <c r="D38" s="64" t="inlineStr">
        <is>
          <t>285,000</t>
        </is>
      </c>
    </row>
    <row r="39" ht="23.85" customHeight="1" s="56">
      <c r="A39" s="64" t="inlineStr">
        <is>
          <t>Status</t>
        </is>
      </c>
      <c r="B39" s="64" t="inlineStr">
        <is>
          <t>Text</t>
        </is>
      </c>
      <c r="C39" s="64" t="inlineStr">
        <is>
          <t>Exactly one of: Delivered · In Transit · Delayed</t>
        </is>
      </c>
      <c r="D39" s="64" t="inlineStr">
        <is>
          <t>Delivered</t>
        </is>
      </c>
    </row>
    <row r="40" ht="23.85" customHeight="1" s="56">
      <c r="A40" s="64" t="inlineStr">
        <is>
          <t>SourceSystem</t>
        </is>
      </c>
      <c r="B40" s="64" t="inlineStr">
        <is>
          <t>Text</t>
        </is>
      </c>
      <c r="C40" s="64" t="inlineStr">
        <is>
          <t>Marine · Rail · Road (audit column)</t>
        </is>
      </c>
      <c r="D40" s="64" t="inlineStr">
        <is>
          <t>Rail</t>
        </is>
      </c>
    </row>
  </sheetData>
  <mergeCells count="7">
    <mergeCell ref="A2:F2"/>
    <mergeCell ref="B7:F7"/>
    <mergeCell ref="B6:F6"/>
    <mergeCell ref="B10:F10"/>
    <mergeCell ref="B5:F5"/>
    <mergeCell ref="B8:F8"/>
    <mergeCell ref="B9:F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5" min="1" max="2"/>
    <col width="15" customWidth="1" style="55" min="3" max="3"/>
    <col width="20" customWidth="1" style="55" min="4" max="4"/>
    <col width="12" customWidth="1" style="55" min="5" max="6"/>
    <col width="14" customWidth="1" style="55" min="7" max="7"/>
  </cols>
  <sheetData>
    <row r="1" ht="31.5" customHeight="1" s="56">
      <c r="A1" s="71" t="inlineStr">
        <is>
          <t>Shipment_ID</t>
        </is>
      </c>
      <c r="B1" s="71" t="inlineStr">
        <is>
          <t>Ship_Date</t>
        </is>
      </c>
      <c r="C1" s="71" t="inlineStr">
        <is>
          <t>Origin_Port</t>
        </is>
      </c>
      <c r="D1" s="71" t="inlineStr">
        <is>
          <t>Dest_Port</t>
        </is>
      </c>
      <c r="E1" s="71" t="inlineStr">
        <is>
          <t>Weight_KG</t>
        </is>
      </c>
      <c r="F1" s="71" t="inlineStr">
        <is>
          <t>Cost_PKR</t>
        </is>
      </c>
      <c r="G1" s="71" t="inlineStr">
        <is>
          <t>Status</t>
        </is>
      </c>
    </row>
    <row r="2" ht="15" customHeight="1" s="56">
      <c r="A2" s="72" t="inlineStr">
        <is>
          <t>MR-1001</t>
        </is>
      </c>
      <c r="B2" s="72" t="inlineStr">
        <is>
          <t>01/02/2026</t>
        </is>
      </c>
      <c r="C2" s="72" t="inlineStr">
        <is>
          <t>Karachi Port</t>
        </is>
      </c>
      <c r="D2" s="72" t="inlineStr">
        <is>
          <t>Lahore Dry Port</t>
        </is>
      </c>
      <c r="E2" s="73" t="n">
        <v>18000</v>
      </c>
      <c r="F2" s="73" t="n">
        <v>142000</v>
      </c>
      <c r="G2" s="72" t="inlineStr">
        <is>
          <t>DELIVERED</t>
        </is>
      </c>
    </row>
    <row r="3" ht="15" customHeight="1" s="56">
      <c r="A3" s="72" t="inlineStr">
        <is>
          <t>MR-1002</t>
        </is>
      </c>
      <c r="B3" s="72" t="inlineStr">
        <is>
          <t>02/02/2026</t>
        </is>
      </c>
      <c r="C3" s="72" t="inlineStr">
        <is>
          <t>Port Qasim</t>
        </is>
      </c>
      <c r="D3" s="72" t="inlineStr">
        <is>
          <t>Faisalabad Dry Port</t>
        </is>
      </c>
      <c r="E3" s="73" t="n">
        <v>22500</v>
      </c>
      <c r="F3" s="73" t="n">
        <v>171000</v>
      </c>
      <c r="G3" s="72" t="inlineStr">
        <is>
          <t xml:space="preserve">DELIVERED </t>
        </is>
      </c>
    </row>
    <row r="4" ht="15" customHeight="1" s="56">
      <c r="A4" s="72" t="inlineStr">
        <is>
          <t>MR-1003</t>
        </is>
      </c>
      <c r="B4" s="72" t="inlineStr">
        <is>
          <t>03/02/2026</t>
        </is>
      </c>
      <c r="C4" s="72" t="inlineStr">
        <is>
          <t>Karachi Port</t>
        </is>
      </c>
      <c r="D4" s="72" t="inlineStr">
        <is>
          <t>Lahore Dry Port</t>
        </is>
      </c>
      <c r="E4" s="73" t="n">
        <v>15000</v>
      </c>
      <c r="F4" s="73" t="n">
        <v>119000</v>
      </c>
      <c r="G4" s="72" t="inlineStr">
        <is>
          <t>IN TRANSIT</t>
        </is>
      </c>
    </row>
    <row r="5" ht="15" customHeight="1" s="56">
      <c r="A5" s="72" t="inlineStr">
        <is>
          <t>MR-1004</t>
        </is>
      </c>
      <c r="B5" s="72" t="inlineStr">
        <is>
          <t>04/02/2026</t>
        </is>
      </c>
      <c r="C5" s="72" t="inlineStr">
        <is>
          <t>Gwadar Port</t>
        </is>
      </c>
      <c r="D5" s="72" t="inlineStr">
        <is>
          <t>Quetta</t>
        </is>
      </c>
      <c r="E5" s="73" t="n">
        <v>20000</v>
      </c>
      <c r="F5" s="73" t="n">
        <v>188000</v>
      </c>
      <c r="G5" s="72" t="inlineStr">
        <is>
          <t>DELIVERED</t>
        </is>
      </c>
    </row>
    <row r="6" ht="15" customHeight="1" s="56">
      <c r="A6" s="72" t="inlineStr">
        <is>
          <t>MR-1005</t>
        </is>
      </c>
      <c r="B6" s="72" t="inlineStr">
        <is>
          <t>05/02/2026</t>
        </is>
      </c>
      <c r="C6" s="72" t="inlineStr">
        <is>
          <t>Port Qasim</t>
        </is>
      </c>
      <c r="D6" s="72" t="inlineStr">
        <is>
          <t>Multan</t>
        </is>
      </c>
      <c r="E6" s="73" t="n">
        <v>16500</v>
      </c>
      <c r="F6" s="73" t="n">
        <v>128000</v>
      </c>
      <c r="G6" s="72" t="inlineStr">
        <is>
          <t xml:space="preserve"> DELIVERED</t>
        </is>
      </c>
    </row>
    <row r="7" ht="15" customHeight="1" s="56">
      <c r="A7" s="72" t="inlineStr">
        <is>
          <t>MR-1006</t>
        </is>
      </c>
      <c r="B7" s="72" t="inlineStr">
        <is>
          <t>06/02/2026</t>
        </is>
      </c>
      <c r="C7" s="72" t="inlineStr">
        <is>
          <t>Karachi Port</t>
        </is>
      </c>
      <c r="D7" s="72" t="inlineStr">
        <is>
          <t>Sialkot Dry Port</t>
        </is>
      </c>
      <c r="E7" s="73" t="n">
        <v>19000</v>
      </c>
      <c r="F7" s="73" t="n">
        <v>154000</v>
      </c>
      <c r="G7" s="72" t="inlineStr">
        <is>
          <t>DELAYED</t>
        </is>
      </c>
    </row>
    <row r="8" ht="15" customHeight="1" s="56">
      <c r="A8" s="72" t="inlineStr">
        <is>
          <t>MR-1007</t>
        </is>
      </c>
      <c r="B8" s="72" t="inlineStr">
        <is>
          <t>07/02/2026</t>
        </is>
      </c>
      <c r="C8" s="72" t="inlineStr">
        <is>
          <t>Port Qasim</t>
        </is>
      </c>
      <c r="D8" s="72" t="inlineStr">
        <is>
          <t>Lahore Dry Port</t>
        </is>
      </c>
      <c r="E8" s="73" t="n">
        <v>14000</v>
      </c>
      <c r="F8" s="73" t="n">
        <v>109000</v>
      </c>
      <c r="G8" s="72" t="inlineStr">
        <is>
          <t>DELIVERED</t>
        </is>
      </c>
    </row>
    <row r="9" ht="15" customHeight="1" s="56">
      <c r="A9" s="72" t="inlineStr">
        <is>
          <t>MR-1008</t>
        </is>
      </c>
      <c r="B9" s="72" t="inlineStr">
        <is>
          <t>09/02/2026</t>
        </is>
      </c>
      <c r="C9" s="72" t="inlineStr">
        <is>
          <t>Karachi Port</t>
        </is>
      </c>
      <c r="D9" s="72" t="inlineStr">
        <is>
          <t>Peshawar</t>
        </is>
      </c>
      <c r="E9" s="73" t="n">
        <v>21000</v>
      </c>
      <c r="F9" s="73" t="n">
        <v>197000</v>
      </c>
      <c r="G9" s="72" t="inlineStr">
        <is>
          <t xml:space="preserve">IN TRANSIT </t>
        </is>
      </c>
    </row>
    <row r="10" ht="15" customHeight="1" s="56">
      <c r="A10" s="72" t="inlineStr">
        <is>
          <t>MR-1009</t>
        </is>
      </c>
      <c r="B10" s="72" t="inlineStr">
        <is>
          <t>10/02/2026</t>
        </is>
      </c>
      <c r="C10" s="72" t="inlineStr">
        <is>
          <t>Gwadar Port</t>
        </is>
      </c>
      <c r="D10" s="72" t="inlineStr">
        <is>
          <t>Karachi Cantt</t>
        </is>
      </c>
      <c r="E10" s="73" t="n">
        <v>17500</v>
      </c>
      <c r="F10" s="73" t="n">
        <v>98000</v>
      </c>
      <c r="G10" s="72" t="inlineStr">
        <is>
          <t>DELIVERED</t>
        </is>
      </c>
    </row>
    <row r="11" ht="15" customHeight="1" s="56">
      <c r="A11" s="72" t="inlineStr">
        <is>
          <t>MR-1010</t>
        </is>
      </c>
      <c r="B11" s="72" t="inlineStr">
        <is>
          <t>11/02/2026</t>
        </is>
      </c>
      <c r="C11" s="72" t="inlineStr">
        <is>
          <t>Port Qasim</t>
        </is>
      </c>
      <c r="D11" s="72" t="inlineStr">
        <is>
          <t>Islamabad Dry Port</t>
        </is>
      </c>
      <c r="E11" s="73" t="n">
        <v>15500</v>
      </c>
      <c r="F11" s="73" t="n">
        <v>139000</v>
      </c>
      <c r="G11" s="72" t="inlineStr">
        <is>
          <t>DELIVERED</t>
        </is>
      </c>
    </row>
    <row r="12" ht="15" customHeight="1" s="56">
      <c r="A12" s="72" t="inlineStr">
        <is>
          <t>MR-1011</t>
        </is>
      </c>
      <c r="B12" s="72" t="inlineStr">
        <is>
          <t>12/02/2026</t>
        </is>
      </c>
      <c r="C12" s="72" t="inlineStr">
        <is>
          <t>Karachi Port</t>
        </is>
      </c>
      <c r="D12" s="72" t="inlineStr">
        <is>
          <t>Hyderabad</t>
        </is>
      </c>
      <c r="E12" s="73" t="n">
        <v>13500</v>
      </c>
      <c r="F12" s="73" t="n">
        <v>61000</v>
      </c>
      <c r="G12" s="72" t="inlineStr">
        <is>
          <t>IN TRANSIT</t>
        </is>
      </c>
    </row>
    <row r="13" ht="15" customHeight="1" s="56">
      <c r="A13" s="72" t="inlineStr">
        <is>
          <t>MR-1012</t>
        </is>
      </c>
      <c r="B13" s="72" t="inlineStr">
        <is>
          <t>13/02/2026</t>
        </is>
      </c>
      <c r="C13" s="72" t="inlineStr">
        <is>
          <t>Port Qasim</t>
        </is>
      </c>
      <c r="D13" s="72" t="inlineStr">
        <is>
          <t>Lahore Dry Port</t>
        </is>
      </c>
      <c r="E13" s="73" t="n">
        <v>14000</v>
      </c>
      <c r="F13" s="73" t="n">
        <v>112000</v>
      </c>
      <c r="G13" s="72" t="inlineStr">
        <is>
          <t>DELIVERED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5" min="1" max="1"/>
    <col width="14" customWidth="1" style="55" min="2" max="2"/>
    <col width="24" customWidth="1" style="55" min="3" max="3"/>
    <col width="16" customWidth="1" style="55" min="4" max="4"/>
    <col width="14" customWidth="1" style="55" min="5" max="5"/>
    <col width="20" customWidth="1" style="55" min="6" max="6"/>
    <col width="12" customWidth="1" style="55" min="7" max="7"/>
  </cols>
  <sheetData>
    <row r="1" ht="15" customHeight="1" s="56">
      <c r="A1" s="74" t="inlineStr">
        <is>
          <t>Pakistan Railways Freight — Consignment Register</t>
        </is>
      </c>
    </row>
    <row r="2" ht="15" customHeight="1" s="56">
      <c r="A2" s="75" t="inlineStr">
        <is>
          <t>Period: February 2026   |   Weights in TONS</t>
        </is>
      </c>
    </row>
    <row r="3" ht="31.5" customHeight="1" s="56">
      <c r="A3" s="71" t="inlineStr">
        <is>
          <t>Consignment No</t>
        </is>
      </c>
      <c r="B3" s="71" t="inlineStr">
        <is>
          <t>Dispatch Date</t>
        </is>
      </c>
      <c r="C3" s="71" t="inlineStr">
        <is>
          <t>From Station</t>
        </is>
      </c>
      <c r="D3" s="71" t="inlineStr">
        <is>
          <t>To Station</t>
        </is>
      </c>
      <c r="E3" s="71" t="inlineStr">
        <is>
          <t>Weight (Tons)</t>
        </is>
      </c>
      <c r="F3" s="71" t="inlineStr">
        <is>
          <t>Freight Charges (PKR)</t>
        </is>
      </c>
      <c r="G3" s="71" t="inlineStr">
        <is>
          <t>Status</t>
        </is>
      </c>
    </row>
    <row r="4" ht="15" customHeight="1" s="56">
      <c r="A4" s="72" t="n">
        <v>45012</v>
      </c>
      <c r="B4" s="76" t="n">
        <v>46056</v>
      </c>
      <c r="C4" s="72" t="inlineStr">
        <is>
          <t>Karachi Cantt</t>
        </is>
      </c>
      <c r="D4" s="72" t="inlineStr">
        <is>
          <t>Lahore</t>
        </is>
      </c>
      <c r="E4" s="77" t="n">
        <v>32.5</v>
      </c>
      <c r="F4" s="73" t="n">
        <v>285000</v>
      </c>
      <c r="G4" s="72" t="inlineStr">
        <is>
          <t>Delivered</t>
        </is>
      </c>
    </row>
    <row r="5" ht="15" customHeight="1" s="56">
      <c r="A5" s="72" t="n">
        <v>45013</v>
      </c>
      <c r="B5" s="76" t="n">
        <v>46056</v>
      </c>
      <c r="C5" s="72" t="inlineStr">
        <is>
          <t>Karachi Cantt</t>
        </is>
      </c>
      <c r="D5" s="72" t="inlineStr">
        <is>
          <t>Rawalpindi</t>
        </is>
      </c>
      <c r="E5" s="77" t="n">
        <v>28.75</v>
      </c>
      <c r="F5" s="73" t="n">
        <v>301000</v>
      </c>
      <c r="G5" s="72" t="inlineStr">
        <is>
          <t>delivered</t>
        </is>
      </c>
    </row>
    <row r="6" ht="15" customHeight="1" s="56">
      <c r="A6" s="72" t="n">
        <v>45014</v>
      </c>
      <c r="B6" s="76" t="n">
        <v>46057</v>
      </c>
      <c r="C6" s="72" t="inlineStr">
        <is>
          <t>Pipri Marshalling Yard</t>
        </is>
      </c>
      <c r="D6" s="72" t="inlineStr">
        <is>
          <t>Faisalabad</t>
        </is>
      </c>
      <c r="E6" s="77" t="n">
        <v>30</v>
      </c>
      <c r="F6" s="73" t="n">
        <v>262000</v>
      </c>
      <c r="G6" s="72" t="inlineStr">
        <is>
          <t>In transit</t>
        </is>
      </c>
    </row>
    <row r="7" ht="15" customHeight="1" s="56">
      <c r="A7" s="72" t="n">
        <v>45015</v>
      </c>
      <c r="B7" s="76" t="n">
        <v>46058</v>
      </c>
      <c r="C7" s="72" t="inlineStr">
        <is>
          <t>Karachi Cantt</t>
        </is>
      </c>
      <c r="D7" s="72" t="inlineStr">
        <is>
          <t>Multan</t>
        </is>
      </c>
      <c r="E7" s="77" t="n">
        <v>26.5</v>
      </c>
      <c r="F7" s="73" t="n">
        <v>198000</v>
      </c>
      <c r="G7" s="72" t="inlineStr">
        <is>
          <t xml:space="preserve"> Delivered</t>
        </is>
      </c>
    </row>
    <row r="8" ht="15" customHeight="1" s="56">
      <c r="A8" s="72" t="n">
        <v>45016</v>
      </c>
      <c r="B8" s="76" t="n">
        <v>46059</v>
      </c>
      <c r="C8" s="72" t="inlineStr">
        <is>
          <t>Pipri Marshalling Yard</t>
        </is>
      </c>
      <c r="D8" s="72" t="inlineStr">
        <is>
          <t>Lahore</t>
        </is>
      </c>
      <c r="E8" s="77" t="n">
        <v>31.25</v>
      </c>
      <c r="F8" s="73" t="n">
        <v>276000</v>
      </c>
      <c r="G8" s="72" t="inlineStr">
        <is>
          <t>DELAYED</t>
        </is>
      </c>
    </row>
    <row r="9" ht="15" customHeight="1" s="56">
      <c r="A9" s="72" t="n">
        <v>45017</v>
      </c>
      <c r="B9" s="76" t="n">
        <v>46060</v>
      </c>
      <c r="C9" s="72" t="inlineStr">
        <is>
          <t>Karachi Cantt</t>
        </is>
      </c>
      <c r="D9" s="72" t="inlineStr">
        <is>
          <t>Peshawar Cantt</t>
        </is>
      </c>
      <c r="E9" s="77" t="n">
        <v>29</v>
      </c>
      <c r="F9" s="73" t="n">
        <v>334000</v>
      </c>
      <c r="G9" s="72" t="inlineStr">
        <is>
          <t xml:space="preserve">Delivered </t>
        </is>
      </c>
    </row>
    <row r="10" ht="15" customHeight="1" s="56">
      <c r="A10" s="72" t="n">
        <v>45018</v>
      </c>
      <c r="B10" s="76" t="n">
        <v>46062</v>
      </c>
      <c r="C10" s="72" t="inlineStr">
        <is>
          <t>Pipri Marshalling Yard</t>
        </is>
      </c>
      <c r="D10" s="72" t="inlineStr">
        <is>
          <t>Rawalpindi</t>
        </is>
      </c>
      <c r="E10" s="77" t="n">
        <v>27.5</v>
      </c>
      <c r="F10" s="73" t="n">
        <v>289000</v>
      </c>
      <c r="G10" s="72" t="inlineStr">
        <is>
          <t>delayed</t>
        </is>
      </c>
    </row>
    <row r="11" ht="15" customHeight="1" s="56">
      <c r="A11" s="72" t="n">
        <v>45019</v>
      </c>
      <c r="B11" s="76" t="n">
        <v>46063</v>
      </c>
      <c r="C11" s="72" t="inlineStr">
        <is>
          <t>Karachi Cantt</t>
        </is>
      </c>
      <c r="D11" s="72" t="inlineStr">
        <is>
          <t>Lahore</t>
        </is>
      </c>
      <c r="E11" s="77" t="n">
        <v>33</v>
      </c>
      <c r="F11" s="73" t="n">
        <v>291000</v>
      </c>
      <c r="G11" s="72" t="inlineStr">
        <is>
          <t>Delivered</t>
        </is>
      </c>
    </row>
    <row r="12" ht="15" customHeight="1" s="56">
      <c r="A12" s="72" t="n">
        <v>45020</v>
      </c>
      <c r="B12" s="76" t="n">
        <v>46064</v>
      </c>
      <c r="C12" s="72" t="inlineStr">
        <is>
          <t>Karachi Cantt</t>
        </is>
      </c>
      <c r="D12" s="72" t="inlineStr">
        <is>
          <t>Sukkur</t>
        </is>
      </c>
      <c r="E12" s="77" t="n">
        <v>28.25</v>
      </c>
      <c r="F12" s="73" t="n">
        <v>142000</v>
      </c>
      <c r="G12" s="72" t="inlineStr">
        <is>
          <t>in Transit</t>
        </is>
      </c>
    </row>
    <row r="13" ht="15" customHeight="1" s="56">
      <c r="A13" s="72" t="n">
        <v>45021</v>
      </c>
      <c r="B13" s="76" t="n">
        <v>46065</v>
      </c>
      <c r="C13" s="72" t="inlineStr">
        <is>
          <t>Pipri Marshalling Yard</t>
        </is>
      </c>
      <c r="D13" s="72" t="inlineStr">
        <is>
          <t>Multan</t>
        </is>
      </c>
      <c r="E13" s="77" t="n">
        <v>28.5</v>
      </c>
      <c r="F13" s="73" t="n">
        <v>207000</v>
      </c>
      <c r="G13" s="72" t="inlineStr">
        <is>
          <t>delivered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5" min="1" max="1"/>
    <col width="12" customWidth="1" style="55" min="2" max="3"/>
    <col width="13" customWidth="1" style="55" min="4" max="4"/>
    <col width="11" customWidth="1" style="55" min="5" max="6"/>
    <col width="13" customWidth="1" style="55" min="7" max="7"/>
  </cols>
  <sheetData>
    <row r="1" ht="31.5" customHeight="1" s="56">
      <c r="A1" s="71" t="inlineStr">
        <is>
          <t>trip_id</t>
        </is>
      </c>
      <c r="B1" s="71" t="inlineStr">
        <is>
          <t>trip_date</t>
        </is>
      </c>
      <c r="C1" s="71" t="inlineStr">
        <is>
          <t>from_city</t>
        </is>
      </c>
      <c r="D1" s="71" t="inlineStr">
        <is>
          <t>to_city</t>
        </is>
      </c>
      <c r="E1" s="71" t="inlineStr">
        <is>
          <t>weight_kg</t>
        </is>
      </c>
      <c r="F1" s="71" t="inlineStr">
        <is>
          <t>cost_pkr</t>
        </is>
      </c>
      <c r="G1" s="71" t="inlineStr">
        <is>
          <t>status</t>
        </is>
      </c>
    </row>
    <row r="2" ht="15" customHeight="1" s="56">
      <c r="A2" s="72" t="inlineStr">
        <is>
          <t>rd-501</t>
        </is>
      </c>
      <c r="B2" s="72" t="inlineStr">
        <is>
          <t>2026-02-02</t>
        </is>
      </c>
      <c r="C2" s="72" t="inlineStr">
        <is>
          <t>Lahore</t>
        </is>
      </c>
      <c r="D2" s="72" t="inlineStr">
        <is>
          <t>Islamabad</t>
        </is>
      </c>
      <c r="E2" s="73" t="n">
        <v>6500</v>
      </c>
      <c r="F2" s="73" t="n">
        <v>58000</v>
      </c>
      <c r="G2" s="72" t="inlineStr">
        <is>
          <t>delivered</t>
        </is>
      </c>
    </row>
    <row r="3" ht="15" customHeight="1" s="56">
      <c r="A3" s="72" t="inlineStr">
        <is>
          <t>rd-502</t>
        </is>
      </c>
      <c r="B3" s="72" t="inlineStr">
        <is>
          <t>2026-02-02</t>
        </is>
      </c>
      <c r="C3" s="72" t="inlineStr">
        <is>
          <t>Karachi</t>
        </is>
      </c>
      <c r="D3" s="72" t="inlineStr">
        <is>
          <t>Hyderabad</t>
        </is>
      </c>
      <c r="E3" s="73" t="n">
        <v>7200</v>
      </c>
      <c r="F3" s="73" t="n">
        <v>41000</v>
      </c>
      <c r="G3" s="72" t="inlineStr">
        <is>
          <t>delivered</t>
        </is>
      </c>
    </row>
    <row r="4" ht="15" customHeight="1" s="56">
      <c r="A4" s="72" t="inlineStr">
        <is>
          <t>rd-503</t>
        </is>
      </c>
      <c r="B4" s="72" t="inlineStr">
        <is>
          <t>2026-02-03</t>
        </is>
      </c>
      <c r="C4" s="72" t="inlineStr">
        <is>
          <t>Lahore</t>
        </is>
      </c>
      <c r="D4" s="72" t="inlineStr">
        <is>
          <t>Faisalabad</t>
        </is>
      </c>
      <c r="E4" s="73" t="n">
        <v>5800</v>
      </c>
      <c r="F4" s="73" t="n">
        <v>32000</v>
      </c>
      <c r="G4" s="72" t="inlineStr">
        <is>
          <t xml:space="preserve">in transit </t>
        </is>
      </c>
    </row>
    <row r="5" ht="15" customHeight="1" s="56">
      <c r="A5" s="72" t="inlineStr">
        <is>
          <t>rd-504</t>
        </is>
      </c>
      <c r="B5" s="72" t="inlineStr">
        <is>
          <t>2026-02-04</t>
        </is>
      </c>
      <c r="C5" s="72" t="inlineStr">
        <is>
          <t>Multan</t>
        </is>
      </c>
      <c r="D5" s="72" t="inlineStr">
        <is>
          <t>Lahore</t>
        </is>
      </c>
      <c r="E5" s="73" t="n">
        <v>6900</v>
      </c>
      <c r="F5" s="73" t="n">
        <v>61000</v>
      </c>
      <c r="G5" s="72" t="inlineStr">
        <is>
          <t>delivered</t>
        </is>
      </c>
    </row>
    <row r="6" ht="15" customHeight="1" s="56">
      <c r="A6" s="72" t="inlineStr">
        <is>
          <t>rd-505</t>
        </is>
      </c>
      <c r="B6" s="72" t="inlineStr">
        <is>
          <t>2026-02-05</t>
        </is>
      </c>
      <c r="C6" s="72" t="inlineStr">
        <is>
          <t>Islamabad</t>
        </is>
      </c>
      <c r="D6" s="72" t="inlineStr">
        <is>
          <t>Peshawar</t>
        </is>
      </c>
      <c r="E6" s="73" t="n">
        <v>6100</v>
      </c>
      <c r="F6" s="73" t="n">
        <v>47000</v>
      </c>
      <c r="G6" s="72" t="inlineStr">
        <is>
          <t>delivered</t>
        </is>
      </c>
    </row>
    <row r="7" ht="15" customHeight="1" s="56">
      <c r="A7" s="72" t="inlineStr">
        <is>
          <t>rd-505</t>
        </is>
      </c>
      <c r="B7" s="72" t="inlineStr">
        <is>
          <t>2026-02-05</t>
        </is>
      </c>
      <c r="C7" s="72" t="inlineStr">
        <is>
          <t>Islamabad</t>
        </is>
      </c>
      <c r="D7" s="72" t="inlineStr">
        <is>
          <t>Peshawar</t>
        </is>
      </c>
      <c r="E7" s="73" t="n">
        <v>6100</v>
      </c>
      <c r="F7" s="73" t="n">
        <v>47000</v>
      </c>
      <c r="G7" s="72" t="inlineStr">
        <is>
          <t>delivered</t>
        </is>
      </c>
    </row>
    <row r="8" ht="15" customHeight="1" s="56">
      <c r="A8" s="72" t="inlineStr">
        <is>
          <t>rd-506</t>
        </is>
      </c>
      <c r="B8" s="72" t="inlineStr">
        <is>
          <t>2026-02-06</t>
        </is>
      </c>
      <c r="C8" s="72" t="inlineStr">
        <is>
          <t>Karachi</t>
        </is>
      </c>
      <c r="D8" s="72" t="inlineStr">
        <is>
          <t>Sukkur</t>
        </is>
      </c>
      <c r="E8" s="73" t="n">
        <v>7400</v>
      </c>
      <c r="F8" s="73" t="n">
        <v>83000</v>
      </c>
      <c r="G8" s="72" t="inlineStr">
        <is>
          <t>delayed</t>
        </is>
      </c>
    </row>
    <row r="9" ht="15" customHeight="1" s="56">
      <c r="A9" s="72" t="inlineStr">
        <is>
          <t>rd-507</t>
        </is>
      </c>
      <c r="B9" s="72" t="inlineStr">
        <is>
          <t>2026-02-07</t>
        </is>
      </c>
      <c r="C9" s="72" t="inlineStr">
        <is>
          <t>Lahore</t>
        </is>
      </c>
      <c r="D9" s="72" t="inlineStr">
        <is>
          <t>Sialkot</t>
        </is>
      </c>
      <c r="E9" s="73" t="n">
        <v>5900</v>
      </c>
      <c r="F9" s="73" t="n">
        <v>39000</v>
      </c>
      <c r="G9" s="72" t="inlineStr">
        <is>
          <t>delivered</t>
        </is>
      </c>
    </row>
    <row r="10" ht="15" customHeight="1" s="56">
      <c r="A10" s="72" t="inlineStr">
        <is>
          <t>rd-508</t>
        </is>
      </c>
      <c r="B10" s="72" t="inlineStr">
        <is>
          <t>2026-02-09</t>
        </is>
      </c>
      <c r="C10" s="72" t="inlineStr">
        <is>
          <t>Quetta</t>
        </is>
      </c>
      <c r="D10" s="72" t="inlineStr">
        <is>
          <t>Karachi</t>
        </is>
      </c>
      <c r="E10" s="73" t="n">
        <v>6600</v>
      </c>
      <c r="F10" s="73" t="n">
        <v>92000</v>
      </c>
      <c r="G10" s="72" t="inlineStr">
        <is>
          <t>in transit</t>
        </is>
      </c>
    </row>
    <row r="11" ht="15" customHeight="1" s="56">
      <c r="A11" s="72" t="inlineStr">
        <is>
          <t>rd-509</t>
        </is>
      </c>
      <c r="B11" s="72" t="inlineStr">
        <is>
          <t>2026-02-10</t>
        </is>
      </c>
      <c r="C11" s="72" t="inlineStr">
        <is>
          <t>Faisalabad</t>
        </is>
      </c>
      <c r="D11" s="72" t="inlineStr">
        <is>
          <t>Multan</t>
        </is>
      </c>
      <c r="E11" s="73" t="n">
        <v>6200</v>
      </c>
      <c r="F11" s="73" t="n">
        <v>44000</v>
      </c>
      <c r="G11" s="72" t="inlineStr">
        <is>
          <t xml:space="preserve">delivered </t>
        </is>
      </c>
    </row>
    <row r="12" ht="15" customHeight="1" s="56">
      <c r="A12" s="72" t="inlineStr">
        <is>
          <t>rd-510</t>
        </is>
      </c>
      <c r="B12" s="72" t="inlineStr">
        <is>
          <t>2026-02-11</t>
        </is>
      </c>
      <c r="C12" s="72" t="inlineStr">
        <is>
          <t>Lahore</t>
        </is>
      </c>
      <c r="D12" s="72" t="inlineStr">
        <is>
          <t>Gujranwala</t>
        </is>
      </c>
      <c r="E12" s="73" t="n">
        <v>7000</v>
      </c>
      <c r="F12" s="73" t="n">
        <v>27000</v>
      </c>
      <c r="G12" s="72" t="inlineStr">
        <is>
          <t>delivered</t>
        </is>
      </c>
    </row>
    <row r="13" ht="15" customHeight="1" s="56">
      <c r="A13" s="72" t="inlineStr">
        <is>
          <t>rd-511</t>
        </is>
      </c>
      <c r="B13" s="72" t="inlineStr">
        <is>
          <t>2026-02-12</t>
        </is>
      </c>
      <c r="C13" s="72" t="inlineStr">
        <is>
          <t>Karachi</t>
        </is>
      </c>
      <c r="D13" s="72" t="inlineStr">
        <is>
          <t>Hyderabad</t>
        </is>
      </c>
      <c r="E13" s="73" t="n">
        <v>5500</v>
      </c>
      <c r="F13" s="73" t="n">
        <v>36000</v>
      </c>
      <c r="G13" s="72" t="inlineStr">
        <is>
          <t xml:space="preserve"> in transit</t>
        </is>
      </c>
    </row>
    <row r="14" ht="15" customHeight="1" s="56">
      <c r="A14" s="72" t="inlineStr">
        <is>
          <t>rd-512</t>
        </is>
      </c>
      <c r="B14" s="72" t="inlineStr">
        <is>
          <t>2026-02-13</t>
        </is>
      </c>
      <c r="C14" s="72" t="inlineStr">
        <is>
          <t>Rawalpindi</t>
        </is>
      </c>
      <c r="D14" s="72" t="inlineStr">
        <is>
          <t>Abbottabad</t>
        </is>
      </c>
      <c r="E14" s="73" t="n">
        <v>5800</v>
      </c>
      <c r="F14" s="73" t="n">
        <v>45000</v>
      </c>
      <c r="G14" s="72" t="inlineStr">
        <is>
          <t>delivered</t>
        </is>
      </c>
    </row>
    <row r="15" ht="15" customHeight="1" s="56">
      <c r="A15" s="72" t="n"/>
      <c r="B15" s="72" t="n"/>
      <c r="C15" s="72" t="n"/>
      <c r="D15" s="72" t="n"/>
      <c r="E15" s="73" t="n"/>
      <c r="F15" s="73" t="n"/>
      <c r="G15" s="72" t="n"/>
    </row>
    <row r="16" ht="15" customHeight="1" s="56">
      <c r="A16" s="72" t="inlineStr">
        <is>
          <t>TOTAL</t>
        </is>
      </c>
      <c r="B16" s="72" t="n"/>
      <c r="C16" s="72" t="n"/>
      <c r="D16" s="72" t="n"/>
      <c r="E16" s="73" t="n">
        <v>83000</v>
      </c>
      <c r="F16" s="73" t="n">
        <v>652000</v>
      </c>
      <c r="G16" s="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5" min="1" max="1"/>
    <col width="11" customWidth="1" style="55" min="2" max="2"/>
    <col width="20" customWidth="1" style="55" min="3" max="3"/>
    <col width="40" customWidth="1" style="55" min="4" max="5"/>
    <col width="12" customWidth="1" style="55" min="6" max="6"/>
    <col width="34" customWidth="1" style="55" min="7" max="7"/>
  </cols>
  <sheetData>
    <row r="1" ht="27.75" customHeight="1" s="56">
      <c r="A1" s="57" t="inlineStr">
        <is>
          <t>Task 1 · Data Detective (8 min)</t>
        </is>
      </c>
    </row>
    <row r="2" ht="43.5" customHeight="1" s="56">
      <c r="A2" s="58" t="inlineStr">
        <is>
          <t>Open Marine_Raw, Rail_Raw and Road_Raw. Find at least 10 problems that would break or silently corrupt a warehouse load. For each one say what would go wrong and in which tier you would fix it (Source / Staging / Storage / Presentation). The first row is an example.</t>
        </is>
      </c>
    </row>
    <row r="4" ht="31.5" customHeight="1" s="56">
      <c r="A4" s="62" t="inlineStr">
        <is>
          <t>#</t>
        </is>
      </c>
      <c r="B4" s="62" t="inlineStr">
        <is>
          <t>Source file</t>
        </is>
      </c>
      <c r="C4" s="62" t="inlineStr">
        <is>
          <t>Where (column / row)</t>
        </is>
      </c>
      <c r="D4" s="62" t="inlineStr">
        <is>
          <t>Problem you found</t>
        </is>
      </c>
      <c r="E4" s="62" t="inlineStr">
        <is>
          <t>What goes wrong if loaded as-is?</t>
        </is>
      </c>
      <c r="F4" s="62" t="inlineStr">
        <is>
          <t>Fix in which tier?</t>
        </is>
      </c>
      <c r="G4" s="62" t="inlineStr">
        <is>
          <t>How would you fix it?</t>
        </is>
      </c>
    </row>
    <row r="5" ht="30" customHeight="1" s="56">
      <c r="A5" s="63" t="n">
        <v>1</v>
      </c>
      <c r="B5" s="64" t="inlineStr">
        <is>
          <t>Marine</t>
        </is>
      </c>
      <c r="C5" s="64" t="inlineStr">
        <is>
          <t>Ship_Date (all rows)</t>
        </is>
      </c>
      <c r="D5" s="64" t="inlineStr">
        <is>
          <t>Dates are text in dd/mm/yyyy</t>
        </is>
      </c>
      <c r="E5" s="64" t="inlineStr">
        <is>
          <t>A US-locale tool reads 03/02 as 2 March; 13/02/2026 becomes an error</t>
        </is>
      </c>
      <c r="F5" s="64" t="inlineStr">
        <is>
          <t>Staging</t>
        </is>
      </c>
      <c r="G5" s="64" t="inlineStr">
        <is>
          <t>Convert to a real date using the UK locale</t>
        </is>
      </c>
    </row>
    <row r="6" ht="30" customHeight="1" s="56">
      <c r="A6" s="63" t="inlineStr">
        <is>
          <t>Marine</t>
        </is>
      </c>
      <c r="B6" s="67" t="inlineStr">
        <is>
          <t>Ship_Date / all rows, e.g. row 2</t>
        </is>
      </c>
      <c r="C6" s="67" t="inlineStr">
        <is>
          <t>Text dates use dd/mm/yyyy.</t>
        </is>
      </c>
      <c r="D6" s="67" t="inlineStr">
        <is>
          <t>Locale parsing can swap day and month or create errors.</t>
        </is>
      </c>
      <c r="E6" s="67" t="inlineStr">
        <is>
          <t>Staging</t>
        </is>
      </c>
      <c r="F6" s="67" t="inlineStr">
        <is>
          <t>Build DATE(year,month,day) from the text parts.</t>
        </is>
      </c>
      <c r="G6" s="67" t="n"/>
    </row>
    <row r="7" ht="30" customHeight="1" s="56">
      <c r="A7" s="63" t="inlineStr">
        <is>
          <t>Marine</t>
        </is>
      </c>
      <c r="B7" s="67" t="inlineStr">
        <is>
          <t>Status / row 3</t>
        </is>
      </c>
      <c r="C7" s="67" t="inlineStr">
        <is>
          <t>"DELIVERED " has trailing whitespace.</t>
        </is>
      </c>
      <c r="D7" s="67" t="inlineStr">
        <is>
          <t>Status counts split into separate values.</t>
        </is>
      </c>
      <c r="E7" s="67" t="inlineStr">
        <is>
          <t>Staging</t>
        </is>
      </c>
      <c r="F7" s="67" t="inlineStr">
        <is>
          <t>TRIM then PROPER.</t>
        </is>
      </c>
      <c r="G7" s="67" t="n"/>
    </row>
    <row r="8" ht="30" customHeight="1" s="56">
      <c r="A8" s="63" t="inlineStr">
        <is>
          <t>Marine</t>
        </is>
      </c>
      <c r="B8" s="67" t="inlineStr">
        <is>
          <t>Status / row 4</t>
        </is>
      </c>
      <c r="C8" s="67" t="inlineStr">
        <is>
          <t>"IN TRANSIT" uses all caps.</t>
        </is>
      </c>
      <c r="D8" s="67" t="inlineStr">
        <is>
          <t>Case-sensitive grouping can split the same status.</t>
        </is>
      </c>
      <c r="E8" s="67" t="inlineStr">
        <is>
          <t>Staging</t>
        </is>
      </c>
      <c r="F8" s="67" t="inlineStr">
        <is>
          <t>TRIM then PROPER.</t>
        </is>
      </c>
      <c r="G8" s="67" t="n"/>
    </row>
    <row r="9" ht="30" customHeight="1" s="56">
      <c r="A9" s="63" t="inlineStr">
        <is>
          <t>Rail</t>
        </is>
      </c>
      <c r="B9" s="67" t="inlineStr">
        <is>
          <t>Workbook rows 1?2</t>
        </is>
      </c>
      <c r="C9" s="67" t="inlineStr">
        <is>
          <t>Two title/non-data rows precede the header.</t>
        </is>
      </c>
      <c r="D9" s="67" t="inlineStr">
        <is>
          <t>Headers/data can be shifted into wrong fields.</t>
        </is>
      </c>
      <c r="E9" s="67" t="inlineStr">
        <is>
          <t>Staging</t>
        </is>
      </c>
      <c r="F9" s="67" t="inlineStr">
        <is>
          <t>Remove top two rows before promoting headers.</t>
        </is>
      </c>
      <c r="G9" s="67" t="n"/>
    </row>
    <row r="10" ht="30" customHeight="1" s="56">
      <c r="A10" s="63" t="inlineStr">
        <is>
          <t>Rail</t>
        </is>
      </c>
      <c r="B10" s="67" t="inlineStr">
        <is>
          <t>Weight (Tons) / row 4</t>
        </is>
      </c>
      <c r="C10" s="67" t="inlineStr">
        <is>
          <t>32.5 is tons, not kilograms.</t>
        </is>
      </c>
      <c r="D10" s="67" t="inlineStr">
        <is>
          <t>Weight is understated by a factor of 1,000.</t>
        </is>
      </c>
      <c r="E10" s="67" t="inlineStr">
        <is>
          <t>Staging</t>
        </is>
      </c>
      <c r="F10" s="67" t="inlineStr">
        <is>
          <t>Multiply tons by 1,000 to create WeightKG.</t>
        </is>
      </c>
      <c r="G10" s="67" t="n"/>
    </row>
    <row r="11" ht="30" customHeight="1" s="56">
      <c r="A11" s="63" t="inlineStr">
        <is>
          <t>Rail</t>
        </is>
      </c>
      <c r="B11" s="67" t="inlineStr">
        <is>
          <t>Consignment No / row 4</t>
        </is>
      </c>
      <c r="C11" s="67" t="inlineStr">
        <is>
          <t>45012 is numeric and lacks the RL- prefix.</t>
        </is>
      </c>
      <c r="D11" s="67" t="inlineStr">
        <is>
          <t>Identifiers cannot conform across systems.</t>
        </is>
      </c>
      <c r="E11" s="67" t="inlineStr">
        <is>
          <t>Staging</t>
        </is>
      </c>
      <c r="F11" s="67" t="inlineStr">
        <is>
          <t>Create RL-45012 with a text prefix.</t>
        </is>
      </c>
      <c r="G11" s="67" t="n"/>
    </row>
    <row r="12" ht="30" customHeight="1" s="56">
      <c r="A12" s="63" t="inlineStr">
        <is>
          <t>Rail</t>
        </is>
      </c>
      <c r="B12" s="67" t="inlineStr">
        <is>
          <t>Status / rows 5?14</t>
        </is>
      </c>
      <c r="C12" s="67" t="inlineStr">
        <is>
          <t>Mixed case and leading/trailing spaces.</t>
        </is>
      </c>
      <c r="D12" s="67" t="inlineStr">
        <is>
          <t>Status dimensions fragment.</t>
        </is>
      </c>
      <c r="E12" s="67" t="inlineStr">
        <is>
          <t>Staging</t>
        </is>
      </c>
      <c r="F12" s="67" t="inlineStr">
        <is>
          <t>TRIM then PROPER.</t>
        </is>
      </c>
      <c r="G12" s="67" t="n"/>
    </row>
    <row r="13" ht="30" customHeight="1" s="56">
      <c r="A13" s="63" t="inlineStr">
        <is>
          <t>Road</t>
        </is>
      </c>
      <c r="B13" s="67" t="inlineStr">
        <is>
          <t>trip_id / rows 9?10</t>
        </is>
      </c>
      <c r="C13" s="67" t="inlineStr">
        <is>
          <t>rd-505 occurs twice.</t>
        </is>
      </c>
      <c r="D13" s="67" t="inlineStr">
        <is>
          <t>The same trip is counted twice.</t>
        </is>
      </c>
      <c r="E13" s="67" t="inlineStr">
        <is>
          <t>Staging</t>
        </is>
      </c>
      <c r="F13" s="67" t="inlineStr">
        <is>
          <t>Keep the first occurrence and mark the duplicate N.</t>
        </is>
      </c>
      <c r="G13" s="67" t="n"/>
    </row>
    <row r="14" ht="30" customHeight="1" s="56">
      <c r="A14" s="63" t="inlineStr">
        <is>
          <t>Road</t>
        </is>
      </c>
      <c r="B14" s="67" t="inlineStr">
        <is>
          <t>row 18</t>
        </is>
      </c>
      <c r="C14" s="67" t="inlineStr">
        <is>
          <t>Entire row is blank.</t>
        </is>
      </c>
      <c r="D14" s="67" t="inlineStr">
        <is>
          <t>Blank records can inflate row counts or create null facts.</t>
        </is>
      </c>
      <c r="E14" s="67" t="inlineStr">
        <is>
          <t>Staging</t>
        </is>
      </c>
      <c r="F14" s="67" t="inlineStr">
        <is>
          <t>Mark N with reason Blank row.</t>
        </is>
      </c>
      <c r="G14" s="67" t="n"/>
    </row>
    <row r="15" ht="30" customHeight="1" s="56">
      <c r="A15" s="63" t="inlineStr">
        <is>
          <t>Road</t>
        </is>
      </c>
      <c r="B15" s="67" t="inlineStr">
        <is>
          <t>trip_id / row 19</t>
        </is>
      </c>
      <c r="C15" s="67" t="inlineStr">
        <is>
          <t>TOTAL is a summary row, not a shipment.</t>
        </is>
      </c>
      <c r="D15" s="67" t="inlineStr">
        <is>
          <t>Adding it double-counts road weight.</t>
        </is>
      </c>
      <c r="E15" s="67" t="inlineStr">
        <is>
          <t>Staging</t>
        </is>
      </c>
      <c r="F15" s="67" t="inlineStr">
        <is>
          <t>Mark N with reason Non-data TOTAL row.</t>
        </is>
      </c>
      <c r="G15" s="67" t="n"/>
    </row>
    <row r="16" ht="30" customHeight="1" s="56">
      <c r="A16" s="63" t="inlineStr">
        <is>
          <t>Road</t>
        </is>
      </c>
      <c r="B16" s="67" t="inlineStr">
        <is>
          <t>trip_id / all rows, e.g. rd-501</t>
        </is>
      </c>
      <c r="C16" s="67" t="inlineStr">
        <is>
          <t>Identifiers are lower-case rd-.</t>
        </is>
      </c>
      <c r="D16" s="67" t="inlineStr">
        <is>
          <t>Case-sensitive joins/grouping can split IDs.</t>
        </is>
      </c>
      <c r="E16" s="67" t="inlineStr">
        <is>
          <t>Staging</t>
        </is>
      </c>
      <c r="F16" s="67" t="inlineStr">
        <is>
          <t>UPPER to RD-501.</t>
        </is>
      </c>
      <c r="G16" s="67" t="n"/>
    </row>
    <row r="17">
      <c r="A17" t="inlineStr">
        <is>
          <t>Road</t>
        </is>
      </c>
      <c r="B17" t="inlineStr">
        <is>
          <t>status / row 7</t>
        </is>
      </c>
      <c r="C17" t="inlineStr">
        <is>
          <t>"in transit " has trailing whitespace and lower case.</t>
        </is>
      </c>
      <c r="D17" t="inlineStr">
        <is>
          <t>Status counts split or fail lookups.</t>
        </is>
      </c>
      <c r="E17" t="inlineStr">
        <is>
          <t>Staging</t>
        </is>
      </c>
      <c r="F17" t="inlineStr">
        <is>
          <t>TRIM then PROPER.</t>
        </is>
      </c>
    </row>
    <row r="18" ht="15" customHeight="1" s="56">
      <c r="D18" s="78" t="inlineStr">
        <is>
          <t>Issues found:</t>
        </is>
      </c>
      <c r="E18" s="65">
        <f>COUNTA(D5:D16)</f>
        <v/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5" min="1" max="1"/>
    <col width="44" customWidth="1" style="55" min="2" max="2"/>
    <col width="22" customWidth="1" style="55" min="3" max="3"/>
    <col width="12" customWidth="1" style="55" min="4" max="4"/>
    <col width="16" customWidth="1" style="55" min="5" max="5"/>
    <col width="34" customWidth="1" style="55" min="6" max="6"/>
  </cols>
  <sheetData>
    <row r="1" ht="27.75" customHeight="1" s="56">
      <c r="A1" s="57" t="inlineStr">
        <is>
          <t>Task 2 · The Stovepipe Game (7 min)</t>
        </is>
      </c>
    </row>
    <row r="2" ht="43.5" customHeight="1" s="56">
      <c r="A2" s="58" t="inlineStr">
        <is>
          <t>Each team member plays one department that built its OWN mini-warehouse with its OWN rules. Write a formula in the yellow cell that adds up the raw sheets following ONLY your department's rule. Then compare.</t>
        </is>
      </c>
    </row>
    <row r="4" ht="31.5" customHeight="1" s="56">
      <c r="A4" s="62" t="inlineStr">
        <is>
          <t>Department</t>
        </is>
      </c>
      <c r="B4" s="62" t="inlineStr">
        <is>
          <t>Their (flawed) rule</t>
        </is>
      </c>
      <c r="C4" s="62" t="inlineStr">
        <is>
          <t>Your formula → total kg</t>
        </is>
      </c>
      <c r="D4" s="62" t="inlineStr">
        <is>
          <t>Tonnes</t>
        </is>
      </c>
      <c r="E4" s="62" t="inlineStr">
        <is>
          <t>Difference from truth (t)</t>
        </is>
      </c>
      <c r="F4" s="62" t="inlineStr">
        <is>
          <t>Hint</t>
        </is>
      </c>
    </row>
    <row r="5" ht="43.5" customHeight="1" s="56">
      <c r="A5" s="65" t="inlineStr">
        <is>
          <t>Operations</t>
        </is>
      </c>
      <c r="B5" s="64" t="inlineStr">
        <is>
          <t>Removed the duplicate rd-505 ✔ but forgot to remove the TOTAL row ✘. Rail converted to kg ✔.</t>
        </is>
      </c>
      <c r="C5" s="79">
        <f>SUM('T3a Marine_Stg'!L5:L16)+SUM('T3b Rail_Stg'!L5:L14)+SUM('T3c Road_Stg'!L5:L19)-'T3c Road_Stg'!L10</f>
        <v/>
      </c>
      <c r="D5" s="80">
        <f>IF(C5="","",C5/1000)</f>
        <v/>
      </c>
      <c r="E5" s="81">
        <f>IF(C5="","",D5-$D$9)</f>
        <v/>
      </c>
      <c r="F5" s="82" t="inlineStr">
        <is>
          <t>SUM the whole Road column (TOTAL included) then subtract the duplicate row</t>
        </is>
      </c>
    </row>
    <row r="6" ht="43.5" customHeight="1" s="56">
      <c r="A6" s="65" t="inlineStr">
        <is>
          <t>Finance</t>
        </is>
      </c>
      <c r="B6" s="64" t="inlineStr">
        <is>
          <t>Cleaned Road correctly ✔ but loaded Rail tonnes as if they were kg ✘.</t>
        </is>
      </c>
      <c r="C6" s="79">
        <f>SUM('T3a Marine_Stg'!L5:L16)+SUM('T3b Rail_Stg'!E5:E14)+SUMIF('T3c Road_Stg'!P5:P19,"Y",'T3c Road_Stg'!L5:L19)</f>
        <v/>
      </c>
      <c r="D6" s="80">
        <f>IF(C6="","",C6/1000)</f>
        <v/>
      </c>
      <c r="E6" s="81">
        <f>IF(C6="","",D6-$D$9)</f>
        <v/>
      </c>
      <c r="F6" s="82" t="inlineStr">
        <is>
          <t>Don't multiply Rail by 1000</t>
        </is>
      </c>
    </row>
    <row r="7" ht="43.5" customHeight="1" s="56">
      <c r="A7" s="65" t="inlineStr">
        <is>
          <t>Sales</t>
        </is>
      </c>
      <c r="B7" s="64" t="inlineStr">
        <is>
          <t>Removed the TOTAL row ✔ but kept the duplicate trip ✘. Rail converted to kg ✔.</t>
        </is>
      </c>
      <c r="C7" s="79">
        <f>SUM('T3a Marine_Stg'!L5:L16)+SUM('T3b Rail_Stg'!L5:L14)+SUM('T3c Road_Stg'!L5:L18)</f>
        <v/>
      </c>
      <c r="D7" s="80">
        <f>IF(C7="","",C7/1000)</f>
        <v/>
      </c>
      <c r="E7" s="81">
        <f>IF(C7="","",D7-$D$9)</f>
        <v/>
      </c>
      <c r="F7" s="82" t="inlineStr">
        <is>
          <t>Road rows 2–14 include the duplicate</t>
        </is>
      </c>
    </row>
    <row r="9" ht="23.85" customHeight="1" s="56">
      <c r="A9" s="83" t="inlineStr">
        <is>
          <t>Official truth</t>
        </is>
      </c>
      <c r="B9" s="84" t="inlineStr">
        <is>
          <t>One staging area, one set of rules (dependent / conformed marts)</t>
        </is>
      </c>
      <c r="C9" s="85" t="n">
        <v>578650</v>
      </c>
      <c r="D9" s="86">
        <f>C9/1000</f>
        <v/>
      </c>
      <c r="E9" s="84" t="n"/>
      <c r="F9" s="84" t="n"/>
    </row>
    <row r="11" ht="15" customHeight="1" s="56">
      <c r="A11" s="59" t="inlineStr">
        <is>
          <t>Discuss (write one line each)</t>
        </is>
      </c>
    </row>
    <row r="12" ht="15" customHeight="1" s="56">
      <c r="A12" s="65" t="inlineStr">
        <is>
          <t>Each department applied a consistent local rule to a different schema: Operations included a summary row, Finance ignored the rail unit in the header, and Sales retained a duplicate. Without shared staging definitions, each local total is internally plausible but not comparable.</t>
        </is>
      </c>
      <c r="B12" s="87" t="n"/>
      <c r="C12" s="87" t="n"/>
      <c r="D12" s="87" t="n"/>
      <c r="E12" s="87" t="n"/>
      <c r="F12" s="88" t="n"/>
    </row>
    <row r="13" ht="30" customHeight="1" s="56">
      <c r="A13" s="67" t="n"/>
      <c r="B13" s="87" t="n"/>
      <c r="C13" s="87" t="n"/>
      <c r="D13" s="87" t="n"/>
      <c r="E13" s="87" t="n"/>
      <c r="F13" s="88" t="n"/>
    </row>
    <row r="14" ht="15" customHeight="1" s="56">
      <c r="A14" s="65" t="inlineStr">
        <is>
          <t>Operations is most dangerous because a summary TOTAL row can be re-added whenever the source refreshes, silently doubling a source contribution while still looking like a valid shipment total.</t>
        </is>
      </c>
      <c r="B14" s="87" t="n"/>
      <c r="C14" s="87" t="n"/>
      <c r="D14" s="87" t="n"/>
      <c r="E14" s="87" t="n"/>
      <c r="F14" s="88" t="n"/>
    </row>
    <row r="15" ht="30" customHeight="1" s="56">
      <c r="A15" s="67" t="n"/>
      <c r="B15" s="87" t="n"/>
      <c r="C15" s="87" t="n"/>
      <c r="D15" s="87" t="n"/>
      <c r="E15" s="87" t="n"/>
      <c r="F15" s="88" t="n"/>
    </row>
    <row r="16" ht="15" customHeight="1" s="56">
      <c r="A16" s="65" t="inlineStr">
        <is>
          <t>Use one shared staging layer with conformed shipment ID, date, status, and WeightKG columns, plus row-level keep/reason flags and reconciliation controls before reporting.</t>
        </is>
      </c>
      <c r="B16" s="87" t="n"/>
      <c r="C16" s="87" t="n"/>
      <c r="D16" s="87" t="n"/>
      <c r="E16" s="87" t="n"/>
      <c r="F16" s="88" t="n"/>
    </row>
    <row r="17" ht="30" customHeight="1" s="56">
      <c r="A17" s="67" t="n"/>
      <c r="B17" s="87" t="n"/>
      <c r="C17" s="87" t="n"/>
      <c r="D17" s="87" t="n"/>
      <c r="E17" s="87" t="n"/>
      <c r="F17" s="88" t="n"/>
    </row>
    <row r="18" ht="15" customHeight="1" s="56">
      <c r="A18" s="65" t="inlineStr">
        <is>
          <t>The data owner/steward with Finance and Operations sign-off should define the official shipment and weight rules; governance owns the definition, not an individual department.</t>
        </is>
      </c>
      <c r="B18" s="87" t="n"/>
      <c r="C18" s="87" t="n"/>
      <c r="D18" s="87" t="n"/>
      <c r="E18" s="87" t="n"/>
      <c r="F18" s="88" t="n"/>
    </row>
    <row r="19" ht="30" customHeight="1" s="56">
      <c r="A19" s="67" t="n"/>
      <c r="B19" s="87" t="n"/>
      <c r="C19" s="87" t="n"/>
      <c r="D19" s="87" t="n"/>
      <c r="E19" s="87" t="n"/>
      <c r="F19" s="88" t="n"/>
    </row>
  </sheetData>
  <mergeCells count="9">
    <mergeCell ref="A2:F2"/>
    <mergeCell ref="A16:F16"/>
    <mergeCell ref="A13:F13"/>
    <mergeCell ref="A14:F14"/>
    <mergeCell ref="A19:F19"/>
    <mergeCell ref="A17:F17"/>
    <mergeCell ref="A12:F12"/>
    <mergeCell ref="A18:F18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3a · Stage the Marine file</t>
        </is>
      </c>
    </row>
    <row r="2" ht="43.5" customHeight="1" s="56">
      <c r="A2" s="58" t="inlineStr">
        <is>
          <t>Write one formula in the first yellow cell of each column, then drag it down. Columns that are already filled are simple copies.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Shipment_ID</t>
        </is>
      </c>
      <c r="B4" s="71" t="inlineStr">
        <is>
          <t>Ship_Date</t>
        </is>
      </c>
      <c r="C4" s="71" t="inlineStr">
        <is>
          <t>Origin_Port</t>
        </is>
      </c>
      <c r="D4" s="71" t="inlineStr">
        <is>
          <t>Dest_Port</t>
        </is>
      </c>
      <c r="E4" s="71" t="inlineStr">
        <is>
          <t>Weight_KG</t>
        </is>
      </c>
      <c r="F4" s="71" t="inlineStr">
        <is>
          <t>Cost_PKR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R4" s="83" t="inlineStr">
        <is>
          <t>Hints</t>
        </is>
      </c>
    </row>
    <row r="5" ht="15" customHeight="1" s="56">
      <c r="A5" s="72" t="inlineStr">
        <is>
          <t>MR-1001</t>
        </is>
      </c>
      <c r="B5" s="72" t="inlineStr">
        <is>
          <t>01/02/2026</t>
        </is>
      </c>
      <c r="C5" s="72" t="inlineStr">
        <is>
          <t>Karachi Port</t>
        </is>
      </c>
      <c r="D5" s="72" t="inlineStr">
        <is>
          <t>Lahore Dry Port</t>
        </is>
      </c>
      <c r="E5" s="91" t="n">
        <v>18000</v>
      </c>
      <c r="F5" s="73" t="n">
        <v>142000</v>
      </c>
      <c r="G5" s="72" t="inlineStr">
        <is>
          <t>DELIVERED</t>
        </is>
      </c>
      <c r="H5" s="92">
        <f>A5</f>
        <v/>
      </c>
      <c r="I5" s="93">
        <f>DATE(VALUE(RIGHT(B5,4)),VALUE(MID(B5,4,2)),VALUE(LEFT(B5,2)))</f>
        <v/>
      </c>
      <c r="J5" s="92">
        <f>C5</f>
        <v/>
      </c>
      <c r="K5" s="92">
        <f>D5</f>
        <v/>
      </c>
      <c r="L5" s="94">
        <f>E5</f>
        <v/>
      </c>
      <c r="M5" s="94">
        <f>F5</f>
        <v/>
      </c>
      <c r="N5" s="95">
        <f>PROPER(TRIM(G5))</f>
        <v/>
      </c>
      <c r="O5" s="95">
        <f>"Marine"</f>
        <v/>
      </c>
      <c r="R5" s="96" t="inlineStr">
        <is>
          <t>ShipDate: B is TEXT like 03/02/2026 = 3 February. Pull day, month, year with LEFT, MID, RIGHT and build a date with DATE(year, month, day).</t>
        </is>
      </c>
    </row>
    <row r="6" ht="15" customHeight="1" s="56">
      <c r="A6" s="72" t="inlineStr">
        <is>
          <t>MR-1002</t>
        </is>
      </c>
      <c r="B6" s="72" t="inlineStr">
        <is>
          <t>02/02/2026</t>
        </is>
      </c>
      <c r="C6" s="72" t="inlineStr">
        <is>
          <t>Port Qasim</t>
        </is>
      </c>
      <c r="D6" s="72" t="inlineStr">
        <is>
          <t>Faisalabad Dry Port</t>
        </is>
      </c>
      <c r="E6" s="91" t="n">
        <v>22500</v>
      </c>
      <c r="F6" s="73" t="n">
        <v>171000</v>
      </c>
      <c r="G6" s="72" t="inlineStr">
        <is>
          <t xml:space="preserve">DELIVERED </t>
        </is>
      </c>
      <c r="H6" s="92">
        <f>A6</f>
        <v/>
      </c>
      <c r="I6" s="93">
        <f>DATE(VALUE(RIGHT(B6,4)),VALUE(MID(B6,4,2)),VALUE(LEFT(B6,2)))</f>
        <v/>
      </c>
      <c r="J6" s="92">
        <f>C6</f>
        <v/>
      </c>
      <c r="K6" s="92">
        <f>D6</f>
        <v/>
      </c>
      <c r="L6" s="94">
        <f>E6</f>
        <v/>
      </c>
      <c r="M6" s="94">
        <f>F6</f>
        <v/>
      </c>
      <c r="N6" s="95">
        <f>PROPER(TRIM(G6))</f>
        <v/>
      </c>
      <c r="O6" s="95">
        <f>"Marine"</f>
        <v/>
      </c>
      <c r="R6" s="96" t="inlineStr">
        <is>
          <t>TRAP CHECK: MR-1003 must show 03-Feb-2026 (not 02-Mar) and MR-1012 must show 13-Feb-2026 (not an error).</t>
        </is>
      </c>
    </row>
    <row r="7" ht="15" customHeight="1" s="56">
      <c r="A7" s="72" t="inlineStr">
        <is>
          <t>MR-1003</t>
        </is>
      </c>
      <c r="B7" s="72" t="inlineStr">
        <is>
          <t>03/02/2026</t>
        </is>
      </c>
      <c r="C7" s="72" t="inlineStr">
        <is>
          <t>Karachi Port</t>
        </is>
      </c>
      <c r="D7" s="72" t="inlineStr">
        <is>
          <t>Lahore Dry Port</t>
        </is>
      </c>
      <c r="E7" s="91" t="n">
        <v>15000</v>
      </c>
      <c r="F7" s="73" t="n">
        <v>119000</v>
      </c>
      <c r="G7" s="72" t="inlineStr">
        <is>
          <t>IN TRANSIT</t>
        </is>
      </c>
      <c r="H7" s="92">
        <f>A7</f>
        <v/>
      </c>
      <c r="I7" s="93">
        <f>DATE(VALUE(RIGHT(B7,4)),VALUE(MID(B7,4,2)),VALUE(LEFT(B7,2)))</f>
        <v/>
      </c>
      <c r="J7" s="92">
        <f>C7</f>
        <v/>
      </c>
      <c r="K7" s="92">
        <f>D7</f>
        <v/>
      </c>
      <c r="L7" s="94">
        <f>E7</f>
        <v/>
      </c>
      <c r="M7" s="94">
        <f>F7</f>
        <v/>
      </c>
      <c r="N7" s="95">
        <f>PROPER(TRIM(G7))</f>
        <v/>
      </c>
      <c r="O7" s="95">
        <f>"Marine"</f>
        <v/>
      </c>
      <c r="R7" s="96" t="inlineStr">
        <is>
          <t>Status: remove hidden spaces first, then fix the case. Look up TRIM and PROPER.</t>
        </is>
      </c>
    </row>
    <row r="8" ht="15" customHeight="1" s="56">
      <c r="A8" s="72" t="inlineStr">
        <is>
          <t>MR-1004</t>
        </is>
      </c>
      <c r="B8" s="72" t="inlineStr">
        <is>
          <t>04/02/2026</t>
        </is>
      </c>
      <c r="C8" s="72" t="inlineStr">
        <is>
          <t>Gwadar Port</t>
        </is>
      </c>
      <c r="D8" s="72" t="inlineStr">
        <is>
          <t>Quetta</t>
        </is>
      </c>
      <c r="E8" s="91" t="n">
        <v>20000</v>
      </c>
      <c r="F8" s="73" t="n">
        <v>188000</v>
      </c>
      <c r="G8" s="72" t="inlineStr">
        <is>
          <t>DELIVERED</t>
        </is>
      </c>
      <c r="H8" s="92">
        <f>A8</f>
        <v/>
      </c>
      <c r="I8" s="93">
        <f>DATE(VALUE(RIGHT(B8,4)),VALUE(MID(B8,4,2)),VALUE(LEFT(B8,2)))</f>
        <v/>
      </c>
      <c r="J8" s="92">
        <f>C8</f>
        <v/>
      </c>
      <c r="K8" s="92">
        <f>D8</f>
        <v/>
      </c>
      <c r="L8" s="94">
        <f>E8</f>
        <v/>
      </c>
      <c r="M8" s="94">
        <f>F8</f>
        <v/>
      </c>
      <c r="N8" s="95">
        <f>PROPER(TRIM(G8))</f>
        <v/>
      </c>
      <c r="O8" s="95">
        <f>"Marine"</f>
        <v/>
      </c>
      <c r="R8" s="96" t="inlineStr">
        <is>
          <t>SourceSystem: every row gets the same text — this is your audit column.</t>
        </is>
      </c>
    </row>
    <row r="9" ht="15" customHeight="1" s="56">
      <c r="A9" s="72" t="inlineStr">
        <is>
          <t>MR-1005</t>
        </is>
      </c>
      <c r="B9" s="72" t="inlineStr">
        <is>
          <t>05/02/2026</t>
        </is>
      </c>
      <c r="C9" s="72" t="inlineStr">
        <is>
          <t>Port Qasim</t>
        </is>
      </c>
      <c r="D9" s="72" t="inlineStr">
        <is>
          <t>Multan</t>
        </is>
      </c>
      <c r="E9" s="91" t="n">
        <v>16500</v>
      </c>
      <c r="F9" s="73" t="n">
        <v>128000</v>
      </c>
      <c r="G9" s="72" t="inlineStr">
        <is>
          <t xml:space="preserve"> DELIVERED</t>
        </is>
      </c>
      <c r="H9" s="92">
        <f>A9</f>
        <v/>
      </c>
      <c r="I9" s="93">
        <f>DATE(VALUE(RIGHT(B9,4)),VALUE(MID(B9,4,2)),VALUE(LEFT(B9,2)))</f>
        <v/>
      </c>
      <c r="J9" s="92">
        <f>C9</f>
        <v/>
      </c>
      <c r="K9" s="92">
        <f>D9</f>
        <v/>
      </c>
      <c r="L9" s="94">
        <f>E9</f>
        <v/>
      </c>
      <c r="M9" s="94">
        <f>F9</f>
        <v/>
      </c>
      <c r="N9" s="95">
        <f>PROPER(TRIM(G9))</f>
        <v/>
      </c>
      <c r="O9" s="95">
        <f>"Marine"</f>
        <v/>
      </c>
    </row>
    <row r="10" ht="15" customHeight="1" s="56">
      <c r="A10" s="72" t="inlineStr">
        <is>
          <t>MR-1006</t>
        </is>
      </c>
      <c r="B10" s="72" t="inlineStr">
        <is>
          <t>06/02/2026</t>
        </is>
      </c>
      <c r="C10" s="72" t="inlineStr">
        <is>
          <t>Karachi Port</t>
        </is>
      </c>
      <c r="D10" s="72" t="inlineStr">
        <is>
          <t>Sialkot Dry Port</t>
        </is>
      </c>
      <c r="E10" s="91" t="n">
        <v>19000</v>
      </c>
      <c r="F10" s="73" t="n">
        <v>154000</v>
      </c>
      <c r="G10" s="72" t="inlineStr">
        <is>
          <t>DELAYED</t>
        </is>
      </c>
      <c r="H10" s="92">
        <f>A10</f>
        <v/>
      </c>
      <c r="I10" s="93">
        <f>DATE(VALUE(RIGHT(B10,4)),VALUE(MID(B10,4,2)),VALUE(LEFT(B10,2)))</f>
        <v/>
      </c>
      <c r="J10" s="92">
        <f>C10</f>
        <v/>
      </c>
      <c r="K10" s="92">
        <f>D10</f>
        <v/>
      </c>
      <c r="L10" s="94">
        <f>E10</f>
        <v/>
      </c>
      <c r="M10" s="94">
        <f>F10</f>
        <v/>
      </c>
      <c r="N10" s="95">
        <f>PROPER(TRIM(G10))</f>
        <v/>
      </c>
      <c r="O10" s="95">
        <f>"Marine"</f>
        <v/>
      </c>
    </row>
    <row r="11" ht="15" customHeight="1" s="56">
      <c r="A11" s="72" t="inlineStr">
        <is>
          <t>MR-1007</t>
        </is>
      </c>
      <c r="B11" s="72" t="inlineStr">
        <is>
          <t>07/02/2026</t>
        </is>
      </c>
      <c r="C11" s="72" t="inlineStr">
        <is>
          <t>Port Qasim</t>
        </is>
      </c>
      <c r="D11" s="72" t="inlineStr">
        <is>
          <t>Lahore Dry Port</t>
        </is>
      </c>
      <c r="E11" s="91" t="n">
        <v>14000</v>
      </c>
      <c r="F11" s="73" t="n">
        <v>109000</v>
      </c>
      <c r="G11" s="72" t="inlineStr">
        <is>
          <t>DELIVERED</t>
        </is>
      </c>
      <c r="H11" s="92">
        <f>A11</f>
        <v/>
      </c>
      <c r="I11" s="93">
        <f>DATE(VALUE(RIGHT(B11,4)),VALUE(MID(B11,4,2)),VALUE(LEFT(B11,2)))</f>
        <v/>
      </c>
      <c r="J11" s="92">
        <f>C11</f>
        <v/>
      </c>
      <c r="K11" s="92">
        <f>D11</f>
        <v/>
      </c>
      <c r="L11" s="94">
        <f>E11</f>
        <v/>
      </c>
      <c r="M11" s="94">
        <f>F11</f>
        <v/>
      </c>
      <c r="N11" s="95">
        <f>PROPER(TRIM(G11))</f>
        <v/>
      </c>
      <c r="O11" s="95">
        <f>"Marine"</f>
        <v/>
      </c>
    </row>
    <row r="12" ht="15" customHeight="1" s="56">
      <c r="A12" s="72" t="inlineStr">
        <is>
          <t>MR-1008</t>
        </is>
      </c>
      <c r="B12" s="72" t="inlineStr">
        <is>
          <t>09/02/2026</t>
        </is>
      </c>
      <c r="C12" s="72" t="inlineStr">
        <is>
          <t>Karachi Port</t>
        </is>
      </c>
      <c r="D12" s="72" t="inlineStr">
        <is>
          <t>Peshawar</t>
        </is>
      </c>
      <c r="E12" s="91" t="n">
        <v>21000</v>
      </c>
      <c r="F12" s="73" t="n">
        <v>197000</v>
      </c>
      <c r="G12" s="72" t="inlineStr">
        <is>
          <t xml:space="preserve">IN TRANSIT </t>
        </is>
      </c>
      <c r="H12" s="92">
        <f>A12</f>
        <v/>
      </c>
      <c r="I12" s="93">
        <f>DATE(VALUE(RIGHT(B12,4)),VALUE(MID(B12,4,2)),VALUE(LEFT(B12,2)))</f>
        <v/>
      </c>
      <c r="J12" s="92">
        <f>C12</f>
        <v/>
      </c>
      <c r="K12" s="92">
        <f>D12</f>
        <v/>
      </c>
      <c r="L12" s="94">
        <f>E12</f>
        <v/>
      </c>
      <c r="M12" s="94">
        <f>F12</f>
        <v/>
      </c>
      <c r="N12" s="95">
        <f>PROPER(TRIM(G12))</f>
        <v/>
      </c>
      <c r="O12" s="95">
        <f>"Marine"</f>
        <v/>
      </c>
    </row>
    <row r="13" ht="15" customHeight="1" s="56">
      <c r="A13" s="72" t="inlineStr">
        <is>
          <t>MR-1009</t>
        </is>
      </c>
      <c r="B13" s="72" t="inlineStr">
        <is>
          <t>10/02/2026</t>
        </is>
      </c>
      <c r="C13" s="72" t="inlineStr">
        <is>
          <t>Gwadar Port</t>
        </is>
      </c>
      <c r="D13" s="72" t="inlineStr">
        <is>
          <t>Karachi Cantt</t>
        </is>
      </c>
      <c r="E13" s="91" t="n">
        <v>17500</v>
      </c>
      <c r="F13" s="73" t="n">
        <v>98000</v>
      </c>
      <c r="G13" s="72" t="inlineStr">
        <is>
          <t>DELIVERED</t>
        </is>
      </c>
      <c r="H13" s="92">
        <f>A13</f>
        <v/>
      </c>
      <c r="I13" s="93">
        <f>DATE(VALUE(RIGHT(B13,4)),VALUE(MID(B13,4,2)),VALUE(LEFT(B13,2)))</f>
        <v/>
      </c>
      <c r="J13" s="92">
        <f>C13</f>
        <v/>
      </c>
      <c r="K13" s="92">
        <f>D13</f>
        <v/>
      </c>
      <c r="L13" s="94">
        <f>E13</f>
        <v/>
      </c>
      <c r="M13" s="94">
        <f>F13</f>
        <v/>
      </c>
      <c r="N13" s="95">
        <f>PROPER(TRIM(G13))</f>
        <v/>
      </c>
      <c r="O13" s="95">
        <f>"Marine"</f>
        <v/>
      </c>
    </row>
    <row r="14" ht="15" customHeight="1" s="56">
      <c r="A14" s="72" t="inlineStr">
        <is>
          <t>MR-1010</t>
        </is>
      </c>
      <c r="B14" s="72" t="inlineStr">
        <is>
          <t>11/02/2026</t>
        </is>
      </c>
      <c r="C14" s="72" t="inlineStr">
        <is>
          <t>Port Qasim</t>
        </is>
      </c>
      <c r="D14" s="72" t="inlineStr">
        <is>
          <t>Islamabad Dry Port</t>
        </is>
      </c>
      <c r="E14" s="91" t="n">
        <v>15500</v>
      </c>
      <c r="F14" s="73" t="n">
        <v>139000</v>
      </c>
      <c r="G14" s="72" t="inlineStr">
        <is>
          <t>DELIVERED</t>
        </is>
      </c>
      <c r="H14" s="92">
        <f>A14</f>
        <v/>
      </c>
      <c r="I14" s="93">
        <f>DATE(VALUE(RIGHT(B14,4)),VALUE(MID(B14,4,2)),VALUE(LEFT(B14,2)))</f>
        <v/>
      </c>
      <c r="J14" s="92">
        <f>C14</f>
        <v/>
      </c>
      <c r="K14" s="92">
        <f>D14</f>
        <v/>
      </c>
      <c r="L14" s="94">
        <f>E14</f>
        <v/>
      </c>
      <c r="M14" s="94">
        <f>F14</f>
        <v/>
      </c>
      <c r="N14" s="95">
        <f>PROPER(TRIM(G14))</f>
        <v/>
      </c>
      <c r="O14" s="95">
        <f>"Marine"</f>
        <v/>
      </c>
    </row>
    <row r="15" ht="15" customHeight="1" s="56">
      <c r="A15" s="72" t="inlineStr">
        <is>
          <t>MR-1011</t>
        </is>
      </c>
      <c r="B15" s="72" t="inlineStr">
        <is>
          <t>12/02/2026</t>
        </is>
      </c>
      <c r="C15" s="72" t="inlineStr">
        <is>
          <t>Karachi Port</t>
        </is>
      </c>
      <c r="D15" s="72" t="inlineStr">
        <is>
          <t>Hyderabad</t>
        </is>
      </c>
      <c r="E15" s="91" t="n">
        <v>13500</v>
      </c>
      <c r="F15" s="73" t="n">
        <v>61000</v>
      </c>
      <c r="G15" s="72" t="inlineStr">
        <is>
          <t>IN TRANSIT</t>
        </is>
      </c>
      <c r="H15" s="92">
        <f>A15</f>
        <v/>
      </c>
      <c r="I15" s="93">
        <f>DATE(VALUE(RIGHT(B15,4)),VALUE(MID(B15,4,2)),VALUE(LEFT(B15,2)))</f>
        <v/>
      </c>
      <c r="J15" s="92">
        <f>C15</f>
        <v/>
      </c>
      <c r="K15" s="92">
        <f>D15</f>
        <v/>
      </c>
      <c r="L15" s="94">
        <f>E15</f>
        <v/>
      </c>
      <c r="M15" s="94">
        <f>F15</f>
        <v/>
      </c>
      <c r="N15" s="95">
        <f>PROPER(TRIM(G15))</f>
        <v/>
      </c>
      <c r="O15" s="95">
        <f>"Marine"</f>
        <v/>
      </c>
    </row>
    <row r="16" ht="15" customHeight="1" s="56">
      <c r="A16" s="72" t="inlineStr">
        <is>
          <t>MR-1012</t>
        </is>
      </c>
      <c r="B16" s="72" t="inlineStr">
        <is>
          <t>13/02/2026</t>
        </is>
      </c>
      <c r="C16" s="72" t="inlineStr">
        <is>
          <t>Port Qasim</t>
        </is>
      </c>
      <c r="D16" s="72" t="inlineStr">
        <is>
          <t>Lahore Dry Port</t>
        </is>
      </c>
      <c r="E16" s="91" t="n">
        <v>14000</v>
      </c>
      <c r="F16" s="73" t="n">
        <v>112000</v>
      </c>
      <c r="G16" s="72" t="inlineStr">
        <is>
          <t>DELIVERED</t>
        </is>
      </c>
      <c r="H16" s="92">
        <f>A16</f>
        <v/>
      </c>
      <c r="I16" s="93">
        <f>DATE(VALUE(RIGHT(B16,4)),VALUE(MID(B16,4,2)),VALUE(LEFT(B16,2)))</f>
        <v/>
      </c>
      <c r="J16" s="92">
        <f>C16</f>
        <v/>
      </c>
      <c r="K16" s="92">
        <f>D16</f>
        <v/>
      </c>
      <c r="L16" s="94">
        <f>E16</f>
        <v/>
      </c>
      <c r="M16" s="94">
        <f>F16</f>
        <v/>
      </c>
      <c r="N16" s="95">
        <f>PROPER(TRIM(G16))</f>
        <v/>
      </c>
      <c r="O16" s="95">
        <f>"Marine"</f>
        <v/>
      </c>
    </row>
  </sheetData>
  <mergeCells count="3">
    <mergeCell ref="A3:G3"/>
    <mergeCell ref="A2:P2"/>
    <mergeCell ref="H3:O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3b · Stage the Rail file</t>
        </is>
      </c>
    </row>
    <row r="2" ht="43.5" customHeight="1" s="56">
      <c r="A2" s="58" t="inlineStr">
        <is>
          <t>The two title rows were already removed for you (in Power BI you'd do it with Remove Top Rows). Fill the yellow columns.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Consignment No</t>
        </is>
      </c>
      <c r="B4" s="71" t="inlineStr">
        <is>
          <t>Dispatch Date</t>
        </is>
      </c>
      <c r="C4" s="71" t="inlineStr">
        <is>
          <t>From Station</t>
        </is>
      </c>
      <c r="D4" s="71" t="inlineStr">
        <is>
          <t>To Station</t>
        </is>
      </c>
      <c r="E4" s="71" t="inlineStr">
        <is>
          <t>Weight (Tons)</t>
        </is>
      </c>
      <c r="F4" s="71" t="inlineStr">
        <is>
          <t>Freight Charges (PKR)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R4" s="83" t="inlineStr">
        <is>
          <t>Hints</t>
        </is>
      </c>
    </row>
    <row r="5" ht="15" customHeight="1" s="56">
      <c r="A5" s="72" t="n">
        <v>45012</v>
      </c>
      <c r="B5" s="76" t="n">
        <v>46056</v>
      </c>
      <c r="C5" s="72" t="inlineStr">
        <is>
          <t>Karachi Cantt</t>
        </is>
      </c>
      <c r="D5" s="72" t="inlineStr">
        <is>
          <t>Lahore</t>
        </is>
      </c>
      <c r="E5" s="91" t="n">
        <v>32.5</v>
      </c>
      <c r="F5" s="73" t="n">
        <v>285000</v>
      </c>
      <c r="G5" s="72" t="inlineStr">
        <is>
          <t>Delivered</t>
        </is>
      </c>
      <c r="H5" s="95">
        <f>"RL-"&amp;A5</f>
        <v/>
      </c>
      <c r="I5" s="97">
        <f>B5</f>
        <v/>
      </c>
      <c r="J5" s="92">
        <f>C5</f>
        <v/>
      </c>
      <c r="K5" s="92">
        <f>D5</f>
        <v/>
      </c>
      <c r="L5" s="98">
        <f>E5*1000</f>
        <v/>
      </c>
      <c r="M5" s="94">
        <f>F5</f>
        <v/>
      </c>
      <c r="N5" s="95">
        <f>PROPER(TRIM(G5))</f>
        <v/>
      </c>
      <c r="O5" s="95">
        <f>"Rail"</f>
        <v/>
      </c>
      <c r="R5" s="96" t="inlineStr">
        <is>
          <t>ShipmentID: join the text 'RL-' to the number with &amp;  →  RL-45012.</t>
        </is>
      </c>
    </row>
    <row r="6" ht="15" customHeight="1" s="56">
      <c r="A6" s="72" t="n">
        <v>45013</v>
      </c>
      <c r="B6" s="76" t="n">
        <v>46056</v>
      </c>
      <c r="C6" s="72" t="inlineStr">
        <is>
          <t>Karachi Cantt</t>
        </is>
      </c>
      <c r="D6" s="72" t="inlineStr">
        <is>
          <t>Rawalpindi</t>
        </is>
      </c>
      <c r="E6" s="91" t="n">
        <v>28.75</v>
      </c>
      <c r="F6" s="73" t="n">
        <v>301000</v>
      </c>
      <c r="G6" s="72" t="inlineStr">
        <is>
          <t>delivered</t>
        </is>
      </c>
      <c r="H6" s="95">
        <f>"RL-"&amp;A6</f>
        <v/>
      </c>
      <c r="I6" s="97">
        <f>B6</f>
        <v/>
      </c>
      <c r="J6" s="92">
        <f>C6</f>
        <v/>
      </c>
      <c r="K6" s="92">
        <f>D6</f>
        <v/>
      </c>
      <c r="L6" s="98">
        <f>E6*1000</f>
        <v/>
      </c>
      <c r="M6" s="94">
        <f>F6</f>
        <v/>
      </c>
      <c r="N6" s="95">
        <f>PROPER(TRIM(G6))</f>
        <v/>
      </c>
      <c r="O6" s="95">
        <f>"Rail"</f>
        <v/>
      </c>
      <c r="R6" s="96" t="inlineStr">
        <is>
          <t>WeightKG: Rail is in TONNES. 1 tonne = 1,000 kg.</t>
        </is>
      </c>
    </row>
    <row r="7" ht="15" customHeight="1" s="56">
      <c r="A7" s="72" t="n">
        <v>45014</v>
      </c>
      <c r="B7" s="76" t="n">
        <v>46057</v>
      </c>
      <c r="C7" s="72" t="inlineStr">
        <is>
          <t>Pipri Marshalling Yard</t>
        </is>
      </c>
      <c r="D7" s="72" t="inlineStr">
        <is>
          <t>Faisalabad</t>
        </is>
      </c>
      <c r="E7" s="91" t="n">
        <v>30</v>
      </c>
      <c r="F7" s="73" t="n">
        <v>262000</v>
      </c>
      <c r="G7" s="72" t="inlineStr">
        <is>
          <t>In transit</t>
        </is>
      </c>
      <c r="H7" s="95">
        <f>"RL-"&amp;A7</f>
        <v/>
      </c>
      <c r="I7" s="97">
        <f>B7</f>
        <v/>
      </c>
      <c r="J7" s="92">
        <f>C7</f>
        <v/>
      </c>
      <c r="K7" s="92">
        <f>D7</f>
        <v/>
      </c>
      <c r="L7" s="98">
        <f>E7*1000</f>
        <v/>
      </c>
      <c r="M7" s="94">
        <f>F7</f>
        <v/>
      </c>
      <c r="N7" s="95">
        <f>PROPER(TRIM(G7))</f>
        <v/>
      </c>
      <c r="O7" s="95">
        <f>"Rail"</f>
        <v/>
      </c>
      <c r="R7" s="96" t="inlineStr">
        <is>
          <t>Status: same trick as Marine.</t>
        </is>
      </c>
    </row>
    <row r="8" ht="15" customHeight="1" s="56">
      <c r="A8" s="72" t="n">
        <v>45015</v>
      </c>
      <c r="B8" s="76" t="n">
        <v>46058</v>
      </c>
      <c r="C8" s="72" t="inlineStr">
        <is>
          <t>Karachi Cantt</t>
        </is>
      </c>
      <c r="D8" s="72" t="inlineStr">
        <is>
          <t>Multan</t>
        </is>
      </c>
      <c r="E8" s="91" t="n">
        <v>26.5</v>
      </c>
      <c r="F8" s="73" t="n">
        <v>198000</v>
      </c>
      <c r="G8" s="72" t="inlineStr">
        <is>
          <t xml:space="preserve"> Delivered</t>
        </is>
      </c>
      <c r="H8" s="95">
        <f>"RL-"&amp;A8</f>
        <v/>
      </c>
      <c r="I8" s="97">
        <f>B8</f>
        <v/>
      </c>
      <c r="J8" s="92">
        <f>C8</f>
        <v/>
      </c>
      <c r="K8" s="92">
        <f>D8</f>
        <v/>
      </c>
      <c r="L8" s="98">
        <f>E8*1000</f>
        <v/>
      </c>
      <c r="M8" s="94">
        <f>F8</f>
        <v/>
      </c>
      <c r="N8" s="95">
        <f>PROPER(TRIM(G8))</f>
        <v/>
      </c>
      <c r="O8" s="95">
        <f>"Rail"</f>
        <v/>
      </c>
      <c r="R8" s="96" t="inlineStr">
        <is>
          <t>Check: RL-45012 should weigh 32,500 kg.</t>
        </is>
      </c>
    </row>
    <row r="9" ht="15" customHeight="1" s="56">
      <c r="A9" s="72" t="n">
        <v>45016</v>
      </c>
      <c r="B9" s="76" t="n">
        <v>46059</v>
      </c>
      <c r="C9" s="72" t="inlineStr">
        <is>
          <t>Pipri Marshalling Yard</t>
        </is>
      </c>
      <c r="D9" s="72" t="inlineStr">
        <is>
          <t>Lahore</t>
        </is>
      </c>
      <c r="E9" s="91" t="n">
        <v>31.25</v>
      </c>
      <c r="F9" s="73" t="n">
        <v>276000</v>
      </c>
      <c r="G9" s="72" t="inlineStr">
        <is>
          <t>DELAYED</t>
        </is>
      </c>
      <c r="H9" s="95">
        <f>"RL-"&amp;A9</f>
        <v/>
      </c>
      <c r="I9" s="97">
        <f>B9</f>
        <v/>
      </c>
      <c r="J9" s="92">
        <f>C9</f>
        <v/>
      </c>
      <c r="K9" s="92">
        <f>D9</f>
        <v/>
      </c>
      <c r="L9" s="98">
        <f>E9*1000</f>
        <v/>
      </c>
      <c r="M9" s="94">
        <f>F9</f>
        <v/>
      </c>
      <c r="N9" s="95">
        <f>PROPER(TRIM(G9))</f>
        <v/>
      </c>
      <c r="O9" s="95">
        <f>"Rail"</f>
        <v/>
      </c>
    </row>
    <row r="10" ht="15" customHeight="1" s="56">
      <c r="A10" s="72" t="n">
        <v>45017</v>
      </c>
      <c r="B10" s="76" t="n">
        <v>46060</v>
      </c>
      <c r="C10" s="72" t="inlineStr">
        <is>
          <t>Karachi Cantt</t>
        </is>
      </c>
      <c r="D10" s="72" t="inlineStr">
        <is>
          <t>Peshawar Cantt</t>
        </is>
      </c>
      <c r="E10" s="91" t="n">
        <v>29</v>
      </c>
      <c r="F10" s="73" t="n">
        <v>334000</v>
      </c>
      <c r="G10" s="72" t="inlineStr">
        <is>
          <t xml:space="preserve">Delivered </t>
        </is>
      </c>
      <c r="H10" s="95">
        <f>"RL-"&amp;A10</f>
        <v/>
      </c>
      <c r="I10" s="97">
        <f>B10</f>
        <v/>
      </c>
      <c r="J10" s="92">
        <f>C10</f>
        <v/>
      </c>
      <c r="K10" s="92">
        <f>D10</f>
        <v/>
      </c>
      <c r="L10" s="98">
        <f>E10*1000</f>
        <v/>
      </c>
      <c r="M10" s="94">
        <f>F10</f>
        <v/>
      </c>
      <c r="N10" s="95">
        <f>PROPER(TRIM(G10))</f>
        <v/>
      </c>
      <c r="O10" s="95">
        <f>"Rail"</f>
        <v/>
      </c>
    </row>
    <row r="11" ht="15" customHeight="1" s="56">
      <c r="A11" s="72" t="n">
        <v>45018</v>
      </c>
      <c r="B11" s="76" t="n">
        <v>46062</v>
      </c>
      <c r="C11" s="72" t="inlineStr">
        <is>
          <t>Pipri Marshalling Yard</t>
        </is>
      </c>
      <c r="D11" s="72" t="inlineStr">
        <is>
          <t>Rawalpindi</t>
        </is>
      </c>
      <c r="E11" s="91" t="n">
        <v>27.5</v>
      </c>
      <c r="F11" s="73" t="n">
        <v>289000</v>
      </c>
      <c r="G11" s="72" t="inlineStr">
        <is>
          <t>delayed</t>
        </is>
      </c>
      <c r="H11" s="95">
        <f>"RL-"&amp;A11</f>
        <v/>
      </c>
      <c r="I11" s="97">
        <f>B11</f>
        <v/>
      </c>
      <c r="J11" s="92">
        <f>C11</f>
        <v/>
      </c>
      <c r="K11" s="92">
        <f>D11</f>
        <v/>
      </c>
      <c r="L11" s="98">
        <f>E11*1000</f>
        <v/>
      </c>
      <c r="M11" s="94">
        <f>F11</f>
        <v/>
      </c>
      <c r="N11" s="95">
        <f>PROPER(TRIM(G11))</f>
        <v/>
      </c>
      <c r="O11" s="95">
        <f>"Rail"</f>
        <v/>
      </c>
    </row>
    <row r="12" ht="15" customHeight="1" s="56">
      <c r="A12" s="72" t="n">
        <v>45019</v>
      </c>
      <c r="B12" s="76" t="n">
        <v>46063</v>
      </c>
      <c r="C12" s="72" t="inlineStr">
        <is>
          <t>Karachi Cantt</t>
        </is>
      </c>
      <c r="D12" s="72" t="inlineStr">
        <is>
          <t>Lahore</t>
        </is>
      </c>
      <c r="E12" s="91" t="n">
        <v>33</v>
      </c>
      <c r="F12" s="73" t="n">
        <v>291000</v>
      </c>
      <c r="G12" s="72" t="inlineStr">
        <is>
          <t>Delivered</t>
        </is>
      </c>
      <c r="H12" s="95">
        <f>"RL-"&amp;A12</f>
        <v/>
      </c>
      <c r="I12" s="97">
        <f>B12</f>
        <v/>
      </c>
      <c r="J12" s="92">
        <f>C12</f>
        <v/>
      </c>
      <c r="K12" s="92">
        <f>D12</f>
        <v/>
      </c>
      <c r="L12" s="98">
        <f>E12*1000</f>
        <v/>
      </c>
      <c r="M12" s="94">
        <f>F12</f>
        <v/>
      </c>
      <c r="N12" s="95">
        <f>PROPER(TRIM(G12))</f>
        <v/>
      </c>
      <c r="O12" s="95">
        <f>"Rail"</f>
        <v/>
      </c>
    </row>
    <row r="13" ht="15" customHeight="1" s="56">
      <c r="A13" s="72" t="n">
        <v>45020</v>
      </c>
      <c r="B13" s="76" t="n">
        <v>46064</v>
      </c>
      <c r="C13" s="72" t="inlineStr">
        <is>
          <t>Karachi Cantt</t>
        </is>
      </c>
      <c r="D13" s="72" t="inlineStr">
        <is>
          <t>Sukkur</t>
        </is>
      </c>
      <c r="E13" s="91" t="n">
        <v>28.25</v>
      </c>
      <c r="F13" s="73" t="n">
        <v>142000</v>
      </c>
      <c r="G13" s="72" t="inlineStr">
        <is>
          <t>in Transit</t>
        </is>
      </c>
      <c r="H13" s="95">
        <f>"RL-"&amp;A13</f>
        <v/>
      </c>
      <c r="I13" s="97">
        <f>B13</f>
        <v/>
      </c>
      <c r="J13" s="92">
        <f>C13</f>
        <v/>
      </c>
      <c r="K13" s="92">
        <f>D13</f>
        <v/>
      </c>
      <c r="L13" s="98">
        <f>E13*1000</f>
        <v/>
      </c>
      <c r="M13" s="94">
        <f>F13</f>
        <v/>
      </c>
      <c r="N13" s="95">
        <f>PROPER(TRIM(G13))</f>
        <v/>
      </c>
      <c r="O13" s="95">
        <f>"Rail"</f>
        <v/>
      </c>
    </row>
    <row r="14" ht="15" customHeight="1" s="56">
      <c r="A14" s="72" t="n">
        <v>45021</v>
      </c>
      <c r="B14" s="76" t="n">
        <v>46065</v>
      </c>
      <c r="C14" s="72" t="inlineStr">
        <is>
          <t>Pipri Marshalling Yard</t>
        </is>
      </c>
      <c r="D14" s="72" t="inlineStr">
        <is>
          <t>Multan</t>
        </is>
      </c>
      <c r="E14" s="91" t="n">
        <v>28.5</v>
      </c>
      <c r="F14" s="73" t="n">
        <v>207000</v>
      </c>
      <c r="G14" s="72" t="inlineStr">
        <is>
          <t>delivered</t>
        </is>
      </c>
      <c r="H14" s="95">
        <f>"RL-"&amp;A14</f>
        <v/>
      </c>
      <c r="I14" s="97">
        <f>B14</f>
        <v/>
      </c>
      <c r="J14" s="92">
        <f>C14</f>
        <v/>
      </c>
      <c r="K14" s="92">
        <f>D14</f>
        <v/>
      </c>
      <c r="L14" s="98">
        <f>E14*1000</f>
        <v/>
      </c>
      <c r="M14" s="94">
        <f>F14</f>
        <v/>
      </c>
      <c r="N14" s="95">
        <f>PROPER(TRIM(G14))</f>
        <v/>
      </c>
      <c r="O14" s="95">
        <f>"Rail"</f>
        <v/>
      </c>
    </row>
  </sheetData>
  <mergeCells count="3">
    <mergeCell ref="A3:G3"/>
    <mergeCell ref="A2:P2"/>
    <mergeCell ref="H3:O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R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3c · Stage the Road file</t>
        </is>
      </c>
    </row>
    <row r="2" ht="43.5" customHeight="1" s="56">
      <c r="A2" s="58" t="inlineStr">
        <is>
          <t>Road has junk rows. Transform every row, then decide in 'Keep?' which rows are real shipments (Y) and which must be removed (N) — with a reason.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trip_id</t>
        </is>
      </c>
      <c r="B4" s="71" t="inlineStr">
        <is>
          <t>trip_date</t>
        </is>
      </c>
      <c r="C4" s="71" t="inlineStr">
        <is>
          <t>from_city</t>
        </is>
      </c>
      <c r="D4" s="71" t="inlineStr">
        <is>
          <t>to_city</t>
        </is>
      </c>
      <c r="E4" s="71" t="inlineStr">
        <is>
          <t>weight_kg</t>
        </is>
      </c>
      <c r="F4" s="71" t="inlineStr">
        <is>
          <t>cost_pkr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P4" s="99" t="inlineStr">
        <is>
          <t>Keep? (Y/N)</t>
        </is>
      </c>
      <c r="Q4" s="99" t="inlineStr">
        <is>
          <t>Reason if N</t>
        </is>
      </c>
      <c r="R4" s="83" t="inlineStr">
        <is>
          <t>Hints</t>
        </is>
      </c>
    </row>
    <row r="5" ht="15" customHeight="1" s="56">
      <c r="A5" s="72" t="inlineStr">
        <is>
          <t>rd-501</t>
        </is>
      </c>
      <c r="B5" s="72" t="inlineStr">
        <is>
          <t>2026-02-02</t>
        </is>
      </c>
      <c r="C5" s="72" t="inlineStr">
        <is>
          <t>Lahore</t>
        </is>
      </c>
      <c r="D5" s="72" t="inlineStr">
        <is>
          <t>Islamabad</t>
        </is>
      </c>
      <c r="E5" s="91" t="n">
        <v>6500</v>
      </c>
      <c r="F5" s="73" t="n">
        <v>58000</v>
      </c>
      <c r="G5" s="72" t="inlineStr">
        <is>
          <t>delivered</t>
        </is>
      </c>
      <c r="H5" s="95">
        <f>IF(A5="","",UPPER(A5))</f>
        <v/>
      </c>
      <c r="I5" s="93">
        <f>IFERROR(DATEVALUE(B5),"")</f>
        <v/>
      </c>
      <c r="J5" s="92">
        <f>IF(C5="","",C5)</f>
        <v/>
      </c>
      <c r="K5" s="92">
        <f>IF(D5="","",D5)</f>
        <v/>
      </c>
      <c r="L5" s="94">
        <f>IF(E5="","",E5)</f>
        <v/>
      </c>
      <c r="M5" s="94">
        <f>IF(F5="","",F5)</f>
        <v/>
      </c>
      <c r="N5" s="95">
        <f>IF(G5="","",PROPER(TRIM(G5)))</f>
        <v/>
      </c>
      <c r="O5" s="95">
        <f>"Road"</f>
        <v/>
      </c>
      <c r="P5" s="95">
        <f>IF(A5="","N",IF(UPPER(A5)="TOTAL","N",IF(COUNTIF($A$5:A5,A5)&gt;1,"N","Y")))</f>
        <v/>
      </c>
      <c r="Q5" s="95">
        <f>IF(P5="Y","",IF(A5="","Blank row",IF(UPPER(A5)="TOTAL","Non-data TOTAL row","Duplicate shipment ID")))</f>
        <v/>
      </c>
      <c r="R5" s="96" t="inlineStr">
        <is>
          <t>ShipmentID: make it UPPERCASE  →  RD-501.</t>
        </is>
      </c>
    </row>
    <row r="6" ht="15" customHeight="1" s="56">
      <c r="A6" s="72" t="inlineStr">
        <is>
          <t>rd-502</t>
        </is>
      </c>
      <c r="B6" s="72" t="inlineStr">
        <is>
          <t>2026-02-02</t>
        </is>
      </c>
      <c r="C6" s="72" t="inlineStr">
        <is>
          <t>Karachi</t>
        </is>
      </c>
      <c r="D6" s="72" t="inlineStr">
        <is>
          <t>Hyderabad</t>
        </is>
      </c>
      <c r="E6" s="91" t="n">
        <v>7200</v>
      </c>
      <c r="F6" s="73" t="n">
        <v>41000</v>
      </c>
      <c r="G6" s="72" t="inlineStr">
        <is>
          <t>delivered</t>
        </is>
      </c>
      <c r="H6" s="95">
        <f>IF(A6="","",UPPER(A6))</f>
        <v/>
      </c>
      <c r="I6" s="93">
        <f>IFERROR(DATEVALUE(B6),"")</f>
        <v/>
      </c>
      <c r="J6" s="92">
        <f>IF(C6="","",C6)</f>
        <v/>
      </c>
      <c r="K6" s="92">
        <f>IF(D6="","",D6)</f>
        <v/>
      </c>
      <c r="L6" s="94">
        <f>IF(E6="","",E6)</f>
        <v/>
      </c>
      <c r="M6" s="94">
        <f>IF(F6="","",F6)</f>
        <v/>
      </c>
      <c r="N6" s="95">
        <f>IF(G6="","",PROPER(TRIM(G6)))</f>
        <v/>
      </c>
      <c r="O6" s="95">
        <f>"Road"</f>
        <v/>
      </c>
      <c r="P6" s="95">
        <f>IF(A6="","N",IF(UPPER(A6)="TOTAL","N",IF(COUNTIF($A$5:A6,A6)&gt;1,"N","Y")))</f>
        <v/>
      </c>
      <c r="Q6" s="95">
        <f>IF(P6="Y","",IF(A6="","Blank row",IF(UPPER(A6)="TOTAL","Non-data TOTAL row","Duplicate shipment ID")))</f>
        <v/>
      </c>
      <c r="R6" s="96" t="inlineStr">
        <is>
          <t>ShipDate: B is text like 2026-02-02. DATEVALUE turns it into a date; wrap it in IFERROR for the junk rows.</t>
        </is>
      </c>
    </row>
    <row r="7" ht="15" customHeight="1" s="56">
      <c r="A7" s="72" t="inlineStr">
        <is>
          <t>rd-503</t>
        </is>
      </c>
      <c r="B7" s="72" t="inlineStr">
        <is>
          <t>2026-02-03</t>
        </is>
      </c>
      <c r="C7" s="72" t="inlineStr">
        <is>
          <t>Lahore</t>
        </is>
      </c>
      <c r="D7" s="72" t="inlineStr">
        <is>
          <t>Faisalabad</t>
        </is>
      </c>
      <c r="E7" s="91" t="n">
        <v>5800</v>
      </c>
      <c r="F7" s="73" t="n">
        <v>32000</v>
      </c>
      <c r="G7" s="72" t="inlineStr">
        <is>
          <t xml:space="preserve">in transit </t>
        </is>
      </c>
      <c r="H7" s="95">
        <f>IF(A7="","",UPPER(A7))</f>
        <v/>
      </c>
      <c r="I7" s="93">
        <f>IFERROR(DATEVALUE(B7),"")</f>
        <v/>
      </c>
      <c r="J7" s="92">
        <f>IF(C7="","",C7)</f>
        <v/>
      </c>
      <c r="K7" s="92">
        <f>IF(D7="","",D7)</f>
        <v/>
      </c>
      <c r="L7" s="94">
        <f>IF(E7="","",E7)</f>
        <v/>
      </c>
      <c r="M7" s="94">
        <f>IF(F7="","",F7)</f>
        <v/>
      </c>
      <c r="N7" s="95">
        <f>IF(G7="","",PROPER(TRIM(G7)))</f>
        <v/>
      </c>
      <c r="O7" s="95">
        <f>"Road"</f>
        <v/>
      </c>
      <c r="P7" s="95">
        <f>IF(A7="","N",IF(UPPER(A7)="TOTAL","N",IF(COUNTIF($A$5:A7,A7)&gt;1,"N","Y")))</f>
        <v/>
      </c>
      <c r="Q7" s="95">
        <f>IF(P7="Y","",IF(A7="","Blank row",IF(UPPER(A7)="TOTAL","Non-data TOTAL row","Duplicate shipment ID")))</f>
        <v/>
      </c>
      <c r="R7" s="96" t="inlineStr">
        <is>
          <t>Keep?: there are 15 raw lines but only 12 real trips. Find the 3 that must go.</t>
        </is>
      </c>
    </row>
    <row r="8" ht="15" customHeight="1" s="56">
      <c r="A8" s="72" t="inlineStr">
        <is>
          <t>rd-504</t>
        </is>
      </c>
      <c r="B8" s="72" t="inlineStr">
        <is>
          <t>2026-02-04</t>
        </is>
      </c>
      <c r="C8" s="72" t="inlineStr">
        <is>
          <t>Multan</t>
        </is>
      </c>
      <c r="D8" s="72" t="inlineStr">
        <is>
          <t>Lahore</t>
        </is>
      </c>
      <c r="E8" s="91" t="n">
        <v>6900</v>
      </c>
      <c r="F8" s="73" t="n">
        <v>61000</v>
      </c>
      <c r="G8" s="72" t="inlineStr">
        <is>
          <t>delivered</t>
        </is>
      </c>
      <c r="H8" s="95">
        <f>IF(A8="","",UPPER(A8))</f>
        <v/>
      </c>
      <c r="I8" s="93">
        <f>IFERROR(DATEVALUE(B8),"")</f>
        <v/>
      </c>
      <c r="J8" s="92">
        <f>IF(C8="","",C8)</f>
        <v/>
      </c>
      <c r="K8" s="92">
        <f>IF(D8="","",D8)</f>
        <v/>
      </c>
      <c r="L8" s="94">
        <f>IF(E8="","",E8)</f>
        <v/>
      </c>
      <c r="M8" s="94">
        <f>IF(F8="","",F8)</f>
        <v/>
      </c>
      <c r="N8" s="95">
        <f>IF(G8="","",PROPER(TRIM(G8)))</f>
        <v/>
      </c>
      <c r="O8" s="95">
        <f>"Road"</f>
        <v/>
      </c>
      <c r="P8" s="95">
        <f>IF(A8="","N",IF(UPPER(A8)="TOTAL","N",IF(COUNTIF($A$5:A8,A8)&gt;1,"N","Y")))</f>
        <v/>
      </c>
      <c r="Q8" s="95">
        <f>IF(P8="Y","",IF(A8="","Blank row",IF(UPPER(A8)="TOTAL","Non-data TOTAL row","Duplicate shipment ID")))</f>
        <v/>
      </c>
      <c r="R8" s="96" t="inlineStr">
        <is>
          <t>Status: TRIM + PROPER again.</t>
        </is>
      </c>
    </row>
    <row r="9" ht="15" customHeight="1" s="56">
      <c r="A9" s="72" t="inlineStr">
        <is>
          <t>rd-505</t>
        </is>
      </c>
      <c r="B9" s="72" t="inlineStr">
        <is>
          <t>2026-02-05</t>
        </is>
      </c>
      <c r="C9" s="72" t="inlineStr">
        <is>
          <t>Islamabad</t>
        </is>
      </c>
      <c r="D9" s="72" t="inlineStr">
        <is>
          <t>Peshawar</t>
        </is>
      </c>
      <c r="E9" s="91" t="n">
        <v>6100</v>
      </c>
      <c r="F9" s="73" t="n">
        <v>47000</v>
      </c>
      <c r="G9" s="72" t="inlineStr">
        <is>
          <t>delivered</t>
        </is>
      </c>
      <c r="H9" s="95">
        <f>IF(A9="","",UPPER(A9))</f>
        <v/>
      </c>
      <c r="I9" s="93">
        <f>IFERROR(DATEVALUE(B9),"")</f>
        <v/>
      </c>
      <c r="J9" s="92">
        <f>IF(C9="","",C9)</f>
        <v/>
      </c>
      <c r="K9" s="92">
        <f>IF(D9="","",D9)</f>
        <v/>
      </c>
      <c r="L9" s="94">
        <f>IF(E9="","",E9)</f>
        <v/>
      </c>
      <c r="M9" s="94">
        <f>IF(F9="","",F9)</f>
        <v/>
      </c>
      <c r="N9" s="95">
        <f>IF(G9="","",PROPER(TRIM(G9)))</f>
        <v/>
      </c>
      <c r="O9" s="95">
        <f>"Road"</f>
        <v/>
      </c>
      <c r="P9" s="95">
        <f>IF(A9="","N",IF(UPPER(A9)="TOTAL","N",IF(COUNTIF($A$5:A9,A9)&gt;1,"N","Y")))</f>
        <v/>
      </c>
      <c r="Q9" s="95">
        <f>IF(P9="Y","",IF(A9="","Blank row",IF(UPPER(A9)="TOTAL","Non-data TOTAL row","Duplicate shipment ID")))</f>
        <v/>
      </c>
      <c r="R9" s="96" t="inlineStr">
        <is>
          <t>Why not just delete the junk rows? Because staging keeps the raw copy — you mark and explain, so the audit trail survives.</t>
        </is>
      </c>
    </row>
    <row r="10" ht="15" customHeight="1" s="56">
      <c r="A10" s="72" t="inlineStr">
        <is>
          <t>rd-505</t>
        </is>
      </c>
      <c r="B10" s="72" t="inlineStr">
        <is>
          <t>2026-02-05</t>
        </is>
      </c>
      <c r="C10" s="72" t="inlineStr">
        <is>
          <t>Islamabad</t>
        </is>
      </c>
      <c r="D10" s="72" t="inlineStr">
        <is>
          <t>Peshawar</t>
        </is>
      </c>
      <c r="E10" s="91" t="n">
        <v>6100</v>
      </c>
      <c r="F10" s="73" t="n">
        <v>47000</v>
      </c>
      <c r="G10" s="72" t="inlineStr">
        <is>
          <t>delivered</t>
        </is>
      </c>
      <c r="H10" s="95">
        <f>IF(A10="","",UPPER(A10))</f>
        <v/>
      </c>
      <c r="I10" s="93">
        <f>IFERROR(DATEVALUE(B10),"")</f>
        <v/>
      </c>
      <c r="J10" s="92">
        <f>IF(C10="","",C10)</f>
        <v/>
      </c>
      <c r="K10" s="92">
        <f>IF(D10="","",D10)</f>
        <v/>
      </c>
      <c r="L10" s="94">
        <f>IF(E10="","",E10)</f>
        <v/>
      </c>
      <c r="M10" s="94">
        <f>IF(F10="","",F10)</f>
        <v/>
      </c>
      <c r="N10" s="95">
        <f>IF(G10="","",PROPER(TRIM(G10)))</f>
        <v/>
      </c>
      <c r="O10" s="95">
        <f>"Road"</f>
        <v/>
      </c>
      <c r="P10" s="95">
        <f>IF(A10="","N",IF(UPPER(A10)="TOTAL","N",IF(COUNTIF($A$5:A10,A10)&gt;1,"N","Y")))</f>
        <v/>
      </c>
      <c r="Q10" s="95">
        <f>IF(P10="Y","",IF(A10="","Blank row",IF(UPPER(A10)="TOTAL","Non-data TOTAL row","Duplicate shipment ID")))</f>
        <v/>
      </c>
    </row>
    <row r="11" ht="15" customHeight="1" s="56">
      <c r="A11" s="72" t="inlineStr">
        <is>
          <t>rd-506</t>
        </is>
      </c>
      <c r="B11" s="72" t="inlineStr">
        <is>
          <t>2026-02-06</t>
        </is>
      </c>
      <c r="C11" s="72" t="inlineStr">
        <is>
          <t>Karachi</t>
        </is>
      </c>
      <c r="D11" s="72" t="inlineStr">
        <is>
          <t>Sukkur</t>
        </is>
      </c>
      <c r="E11" s="91" t="n">
        <v>7400</v>
      </c>
      <c r="F11" s="73" t="n">
        <v>83000</v>
      </c>
      <c r="G11" s="72" t="inlineStr">
        <is>
          <t>delayed</t>
        </is>
      </c>
      <c r="H11" s="95">
        <f>IF(A11="","",UPPER(A11))</f>
        <v/>
      </c>
      <c r="I11" s="93">
        <f>IFERROR(DATEVALUE(B11),"")</f>
        <v/>
      </c>
      <c r="J11" s="92">
        <f>IF(C11="","",C11)</f>
        <v/>
      </c>
      <c r="K11" s="92">
        <f>IF(D11="","",D11)</f>
        <v/>
      </c>
      <c r="L11" s="94">
        <f>IF(E11="","",E11)</f>
        <v/>
      </c>
      <c r="M11" s="94">
        <f>IF(F11="","",F11)</f>
        <v/>
      </c>
      <c r="N11" s="95">
        <f>IF(G11="","",PROPER(TRIM(G11)))</f>
        <v/>
      </c>
      <c r="O11" s="95">
        <f>"Road"</f>
        <v/>
      </c>
      <c r="P11" s="95">
        <f>IF(A11="","N",IF(UPPER(A11)="TOTAL","N",IF(COUNTIF($A$5:A11,A11)&gt;1,"N","Y")))</f>
        <v/>
      </c>
      <c r="Q11" s="95">
        <f>IF(P11="Y","",IF(A11="","Blank row",IF(UPPER(A11)="TOTAL","Non-data TOTAL row","Duplicate shipment ID")))</f>
        <v/>
      </c>
    </row>
    <row r="12" ht="15" customHeight="1" s="56">
      <c r="A12" s="72" t="inlineStr">
        <is>
          <t>rd-507</t>
        </is>
      </c>
      <c r="B12" s="72" t="inlineStr">
        <is>
          <t>2026-02-07</t>
        </is>
      </c>
      <c r="C12" s="72" t="inlineStr">
        <is>
          <t>Lahore</t>
        </is>
      </c>
      <c r="D12" s="72" t="inlineStr">
        <is>
          <t>Sialkot</t>
        </is>
      </c>
      <c r="E12" s="91" t="n">
        <v>5900</v>
      </c>
      <c r="F12" s="73" t="n">
        <v>39000</v>
      </c>
      <c r="G12" s="72" t="inlineStr">
        <is>
          <t>delivered</t>
        </is>
      </c>
      <c r="H12" s="95">
        <f>IF(A12="","",UPPER(A12))</f>
        <v/>
      </c>
      <c r="I12" s="93">
        <f>IFERROR(DATEVALUE(B12),"")</f>
        <v/>
      </c>
      <c r="J12" s="92">
        <f>IF(C12="","",C12)</f>
        <v/>
      </c>
      <c r="K12" s="92">
        <f>IF(D12="","",D12)</f>
        <v/>
      </c>
      <c r="L12" s="94">
        <f>IF(E12="","",E12)</f>
        <v/>
      </c>
      <c r="M12" s="94">
        <f>IF(F12="","",F12)</f>
        <v/>
      </c>
      <c r="N12" s="95">
        <f>IF(G12="","",PROPER(TRIM(G12)))</f>
        <v/>
      </c>
      <c r="O12" s="95">
        <f>"Road"</f>
        <v/>
      </c>
      <c r="P12" s="95">
        <f>IF(A12="","N",IF(UPPER(A12)="TOTAL","N",IF(COUNTIF($A$5:A12,A12)&gt;1,"N","Y")))</f>
        <v/>
      </c>
      <c r="Q12" s="95">
        <f>IF(P12="Y","",IF(A12="","Blank row",IF(UPPER(A12)="TOTAL","Non-data TOTAL row","Duplicate shipment ID")))</f>
        <v/>
      </c>
    </row>
    <row r="13" ht="15" customHeight="1" s="56">
      <c r="A13" s="72" t="inlineStr">
        <is>
          <t>rd-508</t>
        </is>
      </c>
      <c r="B13" s="72" t="inlineStr">
        <is>
          <t>2026-02-09</t>
        </is>
      </c>
      <c r="C13" s="72" t="inlineStr">
        <is>
          <t>Quetta</t>
        </is>
      </c>
      <c r="D13" s="72" t="inlineStr">
        <is>
          <t>Karachi</t>
        </is>
      </c>
      <c r="E13" s="91" t="n">
        <v>6600</v>
      </c>
      <c r="F13" s="73" t="n">
        <v>92000</v>
      </c>
      <c r="G13" s="72" t="inlineStr">
        <is>
          <t>in transit</t>
        </is>
      </c>
      <c r="H13" s="95">
        <f>IF(A13="","",UPPER(A13))</f>
        <v/>
      </c>
      <c r="I13" s="93">
        <f>IFERROR(DATEVALUE(B13),"")</f>
        <v/>
      </c>
      <c r="J13" s="92">
        <f>IF(C13="","",C13)</f>
        <v/>
      </c>
      <c r="K13" s="92">
        <f>IF(D13="","",D13)</f>
        <v/>
      </c>
      <c r="L13" s="94">
        <f>IF(E13="","",E13)</f>
        <v/>
      </c>
      <c r="M13" s="94">
        <f>IF(F13="","",F13)</f>
        <v/>
      </c>
      <c r="N13" s="95">
        <f>IF(G13="","",PROPER(TRIM(G13)))</f>
        <v/>
      </c>
      <c r="O13" s="95">
        <f>"Road"</f>
        <v/>
      </c>
      <c r="P13" s="95">
        <f>IF(A13="","N",IF(UPPER(A13)="TOTAL","N",IF(COUNTIF($A$5:A13,A13)&gt;1,"N","Y")))</f>
        <v/>
      </c>
      <c r="Q13" s="95">
        <f>IF(P13="Y","",IF(A13="","Blank row",IF(UPPER(A13)="TOTAL","Non-data TOTAL row","Duplicate shipment ID")))</f>
        <v/>
      </c>
    </row>
    <row r="14" ht="15" customHeight="1" s="56">
      <c r="A14" s="72" t="inlineStr">
        <is>
          <t>rd-509</t>
        </is>
      </c>
      <c r="B14" s="72" t="inlineStr">
        <is>
          <t>2026-02-10</t>
        </is>
      </c>
      <c r="C14" s="72" t="inlineStr">
        <is>
          <t>Faisalabad</t>
        </is>
      </c>
      <c r="D14" s="72" t="inlineStr">
        <is>
          <t>Multan</t>
        </is>
      </c>
      <c r="E14" s="91" t="n">
        <v>6200</v>
      </c>
      <c r="F14" s="73" t="n">
        <v>44000</v>
      </c>
      <c r="G14" s="72" t="inlineStr">
        <is>
          <t xml:space="preserve">delivered </t>
        </is>
      </c>
      <c r="H14" s="95">
        <f>IF(A14="","",UPPER(A14))</f>
        <v/>
      </c>
      <c r="I14" s="93">
        <f>IFERROR(DATEVALUE(B14),"")</f>
        <v/>
      </c>
      <c r="J14" s="92">
        <f>IF(C14="","",C14)</f>
        <v/>
      </c>
      <c r="K14" s="92">
        <f>IF(D14="","",D14)</f>
        <v/>
      </c>
      <c r="L14" s="94">
        <f>IF(E14="","",E14)</f>
        <v/>
      </c>
      <c r="M14" s="94">
        <f>IF(F14="","",F14)</f>
        <v/>
      </c>
      <c r="N14" s="95">
        <f>IF(G14="","",PROPER(TRIM(G14)))</f>
        <v/>
      </c>
      <c r="O14" s="95">
        <f>"Road"</f>
        <v/>
      </c>
      <c r="P14" s="95">
        <f>IF(A14="","N",IF(UPPER(A14)="TOTAL","N",IF(COUNTIF($A$5:A14,A14)&gt;1,"N","Y")))</f>
        <v/>
      </c>
      <c r="Q14" s="95">
        <f>IF(P14="Y","",IF(A14="","Blank row",IF(UPPER(A14)="TOTAL","Non-data TOTAL row","Duplicate shipment ID")))</f>
        <v/>
      </c>
    </row>
    <row r="15" ht="15" customHeight="1" s="56">
      <c r="A15" s="72" t="inlineStr">
        <is>
          <t>rd-510</t>
        </is>
      </c>
      <c r="B15" s="72" t="inlineStr">
        <is>
          <t>2026-02-11</t>
        </is>
      </c>
      <c r="C15" s="72" t="inlineStr">
        <is>
          <t>Lahore</t>
        </is>
      </c>
      <c r="D15" s="72" t="inlineStr">
        <is>
          <t>Gujranwala</t>
        </is>
      </c>
      <c r="E15" s="91" t="n">
        <v>7000</v>
      </c>
      <c r="F15" s="73" t="n">
        <v>27000</v>
      </c>
      <c r="G15" s="72" t="inlineStr">
        <is>
          <t>delivered</t>
        </is>
      </c>
      <c r="H15" s="95">
        <f>IF(A15="","",UPPER(A15))</f>
        <v/>
      </c>
      <c r="I15" s="93">
        <f>IFERROR(DATEVALUE(B15),"")</f>
        <v/>
      </c>
      <c r="J15" s="92">
        <f>IF(C15="","",C15)</f>
        <v/>
      </c>
      <c r="K15" s="92">
        <f>IF(D15="","",D15)</f>
        <v/>
      </c>
      <c r="L15" s="94">
        <f>IF(E15="","",E15)</f>
        <v/>
      </c>
      <c r="M15" s="94">
        <f>IF(F15="","",F15)</f>
        <v/>
      </c>
      <c r="N15" s="95">
        <f>IF(G15="","",PROPER(TRIM(G15)))</f>
        <v/>
      </c>
      <c r="O15" s="95">
        <f>"Road"</f>
        <v/>
      </c>
      <c r="P15" s="95">
        <f>IF(A15="","N",IF(UPPER(A15)="TOTAL","N",IF(COUNTIF($A$5:A15,A15)&gt;1,"N","Y")))</f>
        <v/>
      </c>
      <c r="Q15" s="95">
        <f>IF(P15="Y","",IF(A15="","Blank row",IF(UPPER(A15)="TOTAL","Non-data TOTAL row","Duplicate shipment ID")))</f>
        <v/>
      </c>
    </row>
    <row r="16" ht="15" customHeight="1" s="56">
      <c r="A16" s="72" t="inlineStr">
        <is>
          <t>rd-511</t>
        </is>
      </c>
      <c r="B16" s="72" t="inlineStr">
        <is>
          <t>2026-02-12</t>
        </is>
      </c>
      <c r="C16" s="72" t="inlineStr">
        <is>
          <t>Karachi</t>
        </is>
      </c>
      <c r="D16" s="72" t="inlineStr">
        <is>
          <t>Hyderabad</t>
        </is>
      </c>
      <c r="E16" s="91" t="n">
        <v>5500</v>
      </c>
      <c r="F16" s="73" t="n">
        <v>36000</v>
      </c>
      <c r="G16" s="72" t="inlineStr">
        <is>
          <t xml:space="preserve"> in transit</t>
        </is>
      </c>
      <c r="H16" s="95">
        <f>IF(A16="","",UPPER(A16))</f>
        <v/>
      </c>
      <c r="I16" s="93">
        <f>IFERROR(DATEVALUE(B16),"")</f>
        <v/>
      </c>
      <c r="J16" s="92">
        <f>IF(C16="","",C16)</f>
        <v/>
      </c>
      <c r="K16" s="92">
        <f>IF(D16="","",D16)</f>
        <v/>
      </c>
      <c r="L16" s="94">
        <f>IF(E16="","",E16)</f>
        <v/>
      </c>
      <c r="M16" s="94">
        <f>IF(F16="","",F16)</f>
        <v/>
      </c>
      <c r="N16" s="95">
        <f>IF(G16="","",PROPER(TRIM(G16)))</f>
        <v/>
      </c>
      <c r="O16" s="95">
        <f>"Road"</f>
        <v/>
      </c>
      <c r="P16" s="95">
        <f>IF(A16="","N",IF(UPPER(A16)="TOTAL","N",IF(COUNTIF($A$5:A16,A16)&gt;1,"N","Y")))</f>
        <v/>
      </c>
      <c r="Q16" s="95">
        <f>IF(P16="Y","",IF(A16="","Blank row",IF(UPPER(A16)="TOTAL","Non-data TOTAL row","Duplicate shipment ID")))</f>
        <v/>
      </c>
    </row>
    <row r="17" ht="15" customHeight="1" s="56">
      <c r="A17" s="72" t="inlineStr">
        <is>
          <t>rd-512</t>
        </is>
      </c>
      <c r="B17" s="72" t="inlineStr">
        <is>
          <t>2026-02-13</t>
        </is>
      </c>
      <c r="C17" s="72" t="inlineStr">
        <is>
          <t>Rawalpindi</t>
        </is>
      </c>
      <c r="D17" s="72" t="inlineStr">
        <is>
          <t>Abbottabad</t>
        </is>
      </c>
      <c r="E17" s="91" t="n">
        <v>5800</v>
      </c>
      <c r="F17" s="73" t="n">
        <v>45000</v>
      </c>
      <c r="G17" s="72" t="inlineStr">
        <is>
          <t>delivered</t>
        </is>
      </c>
      <c r="H17" s="95">
        <f>IF(A17="","",UPPER(A17))</f>
        <v/>
      </c>
      <c r="I17" s="93">
        <f>IFERROR(DATEVALUE(B17),"")</f>
        <v/>
      </c>
      <c r="J17" s="92">
        <f>IF(C17="","",C17)</f>
        <v/>
      </c>
      <c r="K17" s="92">
        <f>IF(D17="","",D17)</f>
        <v/>
      </c>
      <c r="L17" s="94">
        <f>IF(E17="","",E17)</f>
        <v/>
      </c>
      <c r="M17" s="94">
        <f>IF(F17="","",F17)</f>
        <v/>
      </c>
      <c r="N17" s="95">
        <f>IF(G17="","",PROPER(TRIM(G17)))</f>
        <v/>
      </c>
      <c r="O17" s="95">
        <f>"Road"</f>
        <v/>
      </c>
      <c r="P17" s="95">
        <f>IF(A17="","N",IF(UPPER(A17)="TOTAL","N",IF(COUNTIF($A$5:A17,A17)&gt;1,"N","Y")))</f>
        <v/>
      </c>
      <c r="Q17" s="95">
        <f>IF(P17="Y","",IF(A17="","Blank row",IF(UPPER(A17)="TOTAL","Non-data TOTAL row","Duplicate shipment ID")))</f>
        <v/>
      </c>
    </row>
    <row r="18" ht="15" customHeight="1" s="56">
      <c r="A18" s="72" t="n"/>
      <c r="B18" s="72" t="n"/>
      <c r="C18" s="72" t="n"/>
      <c r="D18" s="72" t="n"/>
      <c r="E18" s="91" t="n"/>
      <c r="F18" s="73" t="n"/>
      <c r="G18" s="72" t="n"/>
      <c r="H18" s="95">
        <f>IF(A18="","",UPPER(A18))</f>
        <v/>
      </c>
      <c r="I18" s="93">
        <f>IFERROR(DATEVALUE(B18),"")</f>
        <v/>
      </c>
      <c r="J18" s="92">
        <f>IF(C18="","",C18)</f>
        <v/>
      </c>
      <c r="K18" s="92">
        <f>IF(D18="","",D18)</f>
        <v/>
      </c>
      <c r="L18" s="94">
        <f>IF(E18="","",E18)</f>
        <v/>
      </c>
      <c r="M18" s="94">
        <f>IF(F18="","",F18)</f>
        <v/>
      </c>
      <c r="N18" s="95">
        <f>IF(G18="","",PROPER(TRIM(G18)))</f>
        <v/>
      </c>
      <c r="O18" s="95">
        <f>"Road"</f>
        <v/>
      </c>
      <c r="P18" s="95">
        <f>IF(A18="","N",IF(UPPER(A18)="TOTAL","N",IF(COUNTIF($A$5:A18,A18)&gt;1,"N","Y")))</f>
        <v/>
      </c>
      <c r="Q18" s="95">
        <f>IF(P18="Y","",IF(A18="","Blank row",IF(UPPER(A18)="TOTAL","Non-data TOTAL row","Duplicate shipment ID")))</f>
        <v/>
      </c>
    </row>
    <row r="19" ht="15" customHeight="1" s="56">
      <c r="A19" s="72" t="inlineStr">
        <is>
          <t>TOTAL</t>
        </is>
      </c>
      <c r="B19" s="72" t="n"/>
      <c r="C19" s="72" t="n"/>
      <c r="D19" s="72" t="n"/>
      <c r="E19" s="91" t="n">
        <v>83000</v>
      </c>
      <c r="F19" s="73" t="n">
        <v>652000</v>
      </c>
      <c r="G19" s="72" t="n"/>
      <c r="H19" s="95">
        <f>IF(A19="","",UPPER(A19))</f>
        <v/>
      </c>
      <c r="I19" s="93">
        <f>IFERROR(DATEVALUE(B19),"")</f>
        <v/>
      </c>
      <c r="J19" s="92">
        <f>IF(C19="","",C19)</f>
        <v/>
      </c>
      <c r="K19" s="92">
        <f>IF(D19="","",D19)</f>
        <v/>
      </c>
      <c r="L19" s="94">
        <f>IF(E19="","",E19)</f>
        <v/>
      </c>
      <c r="M19" s="94">
        <f>IF(F19="","",F19)</f>
        <v/>
      </c>
      <c r="N19" s="95">
        <f>IF(G19="","",PROPER(TRIM(G19)))</f>
        <v/>
      </c>
      <c r="O19" s="95">
        <f>"Road"</f>
        <v/>
      </c>
      <c r="P19" s="95">
        <f>IF(A19="","N",IF(UPPER(A19)="TOTAL","N",IF(COUNTIF($A$5:A19,A19)&gt;1,"N","Y")))</f>
        <v/>
      </c>
      <c r="Q19" s="95">
        <f>IF(P19="Y","",IF(A19="","Blank row",IF(UPPER(A19)="TOTAL","Non-data TOTAL row","Duplicate shipment ID")))</f>
        <v/>
      </c>
    </row>
  </sheetData>
  <mergeCells count="3">
    <mergeCell ref="A3:G3"/>
    <mergeCell ref="A2:P2"/>
    <mergeCell ref="H3:O3"/>
  </mergeCells>
  <dataValidations count="1">
    <dataValidation sqref="P5:P19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5" min="1" max="1"/>
    <col width="13" customWidth="1" style="55" min="2" max="2"/>
    <col width="11" customWidth="1" style="55" min="3" max="3"/>
    <col width="13" customWidth="1" style="55" min="4" max="5"/>
    <col width="15" customWidth="1" style="55" min="6" max="6"/>
    <col width="14" customWidth="1" style="55" min="7" max="7"/>
    <col width="13" customWidth="1" style="55" min="8" max="8"/>
  </cols>
  <sheetData>
    <row r="1" ht="27.75" customHeight="1" s="56">
      <c r="A1" s="57" t="inlineStr">
        <is>
          <t>Task 4 · Reconcile — Validate Before You Trust (3 min)</t>
        </is>
      </c>
    </row>
    <row r="2" ht="43.5" customHeight="1" s="56">
      <c r="A2" s="58" t="inlineStr">
        <is>
          <t>Nothing to type here. These checks read your staging tabs. Every ✘ means a mistake in Task 3 — go back and fix it until everything is ✔.</t>
        </is>
      </c>
    </row>
    <row r="4" ht="31.5" customHeight="1" s="56">
      <c r="A4" s="62" t="inlineStr">
        <is>
          <t>Source</t>
        </is>
      </c>
      <c r="B4" s="62" t="inlineStr">
        <is>
          <t>Raw lines</t>
        </is>
      </c>
      <c r="C4" s="62" t="inlineStr">
        <is>
          <t>Removed</t>
        </is>
      </c>
      <c r="D4" s="62" t="inlineStr">
        <is>
          <t>Loaded</t>
        </is>
      </c>
      <c r="E4" s="62" t="inlineStr">
        <is>
          <t>Expected rows</t>
        </is>
      </c>
      <c r="F4" s="62" t="inlineStr">
        <is>
          <t>Weight (kg)</t>
        </is>
      </c>
      <c r="G4" s="62" t="inlineStr">
        <is>
          <t>Expected kg</t>
        </is>
      </c>
      <c r="H4" s="62" t="inlineStr">
        <is>
          <t>Check</t>
        </is>
      </c>
    </row>
    <row r="5" ht="15" customHeight="1" s="56">
      <c r="A5" s="64" t="inlineStr">
        <is>
          <t>Marine</t>
        </is>
      </c>
      <c r="B5" s="63">
        <f>ROWS('T3a Marine_Stg'!A5:A16)</f>
        <v/>
      </c>
      <c r="C5" s="63">
        <f>0</f>
        <v/>
      </c>
      <c r="D5" s="63">
        <f>COUNT('T3a Marine_Stg'!L5:L16)</f>
        <v/>
      </c>
      <c r="E5" s="100" t="n">
        <v>12</v>
      </c>
      <c r="F5" s="101">
        <f>SUM('T3a Marine_Stg'!L5:L16)</f>
        <v/>
      </c>
      <c r="G5" s="102" t="n">
        <v>206500</v>
      </c>
      <c r="H5" s="63">
        <f>IF(AND(D5=E5,ABS(F5-G5)&lt;0.5),"✔ OK","✘ Fix it")</f>
        <v/>
      </c>
    </row>
    <row r="6" ht="15" customHeight="1" s="56">
      <c r="A6" s="64" t="inlineStr">
        <is>
          <t>Rail</t>
        </is>
      </c>
      <c r="B6" s="63">
        <f>ROWS('T3b Rail_Stg'!A5:A14)</f>
        <v/>
      </c>
      <c r="C6" s="63">
        <f>0</f>
        <v/>
      </c>
      <c r="D6" s="63">
        <f>COUNT('T3b Rail_Stg'!L5:L14)</f>
        <v/>
      </c>
      <c r="E6" s="100" t="n">
        <v>10</v>
      </c>
      <c r="F6" s="101">
        <f>SUM('T3b Rail_Stg'!L5:L14)</f>
        <v/>
      </c>
      <c r="G6" s="102" t="n">
        <v>295250</v>
      </c>
      <c r="H6" s="63">
        <f>IF(AND(D6=E6,ABS(F6-G6)&lt;0.5),"✔ OK","✘ Fix it")</f>
        <v/>
      </c>
    </row>
    <row r="7" ht="15" customHeight="1" s="56">
      <c r="A7" s="64" t="inlineStr">
        <is>
          <t>Road</t>
        </is>
      </c>
      <c r="B7" s="63">
        <f>ROWS('T3c Road_Stg'!A5:A19)</f>
        <v/>
      </c>
      <c r="C7" s="63">
        <f>COUNTIF('T3c Road_Stg'!P5:P19,"N")</f>
        <v/>
      </c>
      <c r="D7" s="63">
        <f>COUNTIF('T3c Road_Stg'!P5:P19,"Y")</f>
        <v/>
      </c>
      <c r="E7" s="100" t="n">
        <v>12</v>
      </c>
      <c r="F7" s="101">
        <f>SUMIF('T3c Road_Stg'!P5:P19,"Y",'T3c Road_Stg'!L5:L19)</f>
        <v/>
      </c>
      <c r="G7" s="102" t="n">
        <v>76900</v>
      </c>
      <c r="H7" s="63">
        <f>IF(AND(D7=E7,ABS(F7-G7)&lt;0.5),"✔ OK","✘ Fix it")</f>
        <v/>
      </c>
    </row>
    <row r="8" ht="15" customHeight="1" s="56">
      <c r="A8" s="65" t="inlineStr">
        <is>
          <t>Total</t>
        </is>
      </c>
      <c r="B8" s="66">
        <f>SUM(B5:B7)</f>
        <v/>
      </c>
      <c r="C8" s="66">
        <f>SUM(C5:C7)</f>
        <v/>
      </c>
      <c r="D8" s="66">
        <f>SUM(D5:D7)</f>
        <v/>
      </c>
      <c r="E8" s="66">
        <f>SUM(E5:E7)</f>
        <v/>
      </c>
      <c r="F8" s="103">
        <f>SUM(F5:F7)</f>
        <v/>
      </c>
      <c r="G8" s="103">
        <f>SUM(G5:G7)</f>
        <v/>
      </c>
      <c r="H8" s="66">
        <f>IF(AND(D8=34,ABS(F8-578650)&lt;0.5,B8-C8=D8),"✔ OK","✘ Fix it")</f>
        <v/>
      </c>
    </row>
    <row r="10" ht="15" customHeight="1" s="56">
      <c r="A10" s="65" t="inlineStr">
        <is>
          <t>Total freight (tonnes)</t>
        </is>
      </c>
      <c r="F10" s="104">
        <f>F8/1000</f>
        <v/>
      </c>
      <c r="G10" s="105" t="n">
        <v>578.65</v>
      </c>
      <c r="H10" s="63">
        <f>IF(ABS(F10-G10)&lt;0.001,"✔ OK","✘ Fix it")</f>
        <v/>
      </c>
    </row>
    <row r="11" ht="15" customHeight="1" s="56">
      <c r="A11" s="82" t="inlineStr">
        <is>
          <t>Reconciliation rule: Raw lines − Removed = Loaded. Every removed row must have a reason in T3c.</t>
        </is>
      </c>
      <c r="B11" s="87" t="n"/>
      <c r="C11" s="87" t="n"/>
      <c r="D11" s="87" t="n"/>
      <c r="E11" s="87" t="n"/>
      <c r="F11" s="87" t="n"/>
      <c r="G11" s="87" t="n"/>
      <c r="H11" s="88" t="n"/>
    </row>
    <row r="12" ht="15" customHeight="1" s="56">
      <c r="A12" s="106" t="inlineStr">
        <is>
          <t>Expected values (blue) are the official lab answers from slide 39.</t>
        </is>
      </c>
    </row>
    <row r="14" ht="31.5" customHeight="1" s="56">
      <c r="A14" s="62" t="inlineStr">
        <is>
          <t>Status</t>
        </is>
      </c>
      <c r="B14" s="62" t="inlineStr">
        <is>
          <t>Marine</t>
        </is>
      </c>
      <c r="C14" s="62" t="inlineStr">
        <is>
          <t>Rail</t>
        </is>
      </c>
      <c r="D14" s="62" t="inlineStr">
        <is>
          <t>Road (kept)</t>
        </is>
      </c>
      <c r="E14" s="62" t="inlineStr">
        <is>
          <t>Total</t>
        </is>
      </c>
      <c r="F14" s="62" t="inlineStr">
        <is>
          <t>Expected</t>
        </is>
      </c>
      <c r="G14" s="62" t="n"/>
      <c r="H14" s="62" t="inlineStr">
        <is>
          <t>Check</t>
        </is>
      </c>
    </row>
    <row r="15" ht="15" customHeight="1" s="56">
      <c r="A15" s="65" t="inlineStr">
        <is>
          <t>Delivered</t>
        </is>
      </c>
      <c r="B15" s="63">
        <f>COUNTIF('T3a Marine_Stg'!N5:N16,A15)</f>
        <v/>
      </c>
      <c r="C15" s="63">
        <f>COUNTIF('T3b Rail_Stg'!N5:N14,A15)</f>
        <v/>
      </c>
      <c r="D15" s="63">
        <f>COUNTIFS('T3c Road_Stg'!N5:N19,A15,'T3c Road_Stg'!P5:P19,"Y")</f>
        <v/>
      </c>
      <c r="E15" s="66">
        <f>SUM(B15:D15)</f>
        <v/>
      </c>
      <c r="F15" s="100" t="n">
        <v>22</v>
      </c>
      <c r="G15" s="64" t="n"/>
      <c r="H15" s="63">
        <f>IF(E15=F15,"✔ OK","✘ Fix it")</f>
        <v/>
      </c>
    </row>
    <row r="16" ht="15" customHeight="1" s="56">
      <c r="A16" s="65" t="inlineStr">
        <is>
          <t>In Transit</t>
        </is>
      </c>
      <c r="B16" s="63">
        <f>COUNTIF('T3a Marine_Stg'!N5:N16,A16)</f>
        <v/>
      </c>
      <c r="C16" s="63">
        <f>COUNTIF('T3b Rail_Stg'!N5:N14,A16)</f>
        <v/>
      </c>
      <c r="D16" s="63">
        <f>COUNTIFS('T3c Road_Stg'!N5:N19,A16,'T3c Road_Stg'!P5:P19,"Y")</f>
        <v/>
      </c>
      <c r="E16" s="66">
        <f>SUM(B16:D16)</f>
        <v/>
      </c>
      <c r="F16" s="100" t="n">
        <v>8</v>
      </c>
      <c r="G16" s="64" t="n"/>
      <c r="H16" s="63">
        <f>IF(E16=F16,"✔ OK","✘ Fix it")</f>
        <v/>
      </c>
    </row>
    <row r="17" ht="15" customHeight="1" s="56">
      <c r="A17" s="65" t="inlineStr">
        <is>
          <t>Delayed</t>
        </is>
      </c>
      <c r="B17" s="63">
        <f>COUNTIF('T3a Marine_Stg'!N5:N16,A17)</f>
        <v/>
      </c>
      <c r="C17" s="63">
        <f>COUNTIF('T3b Rail_Stg'!N5:N14,A17)</f>
        <v/>
      </c>
      <c r="D17" s="63">
        <f>COUNTIFS('T3c Road_Stg'!N5:N19,A17,'T3c Road_Stg'!P5:P19,"Y")</f>
        <v/>
      </c>
      <c r="E17" s="66">
        <f>SUM(B17:D17)</f>
        <v/>
      </c>
      <c r="F17" s="100" t="n">
        <v>4</v>
      </c>
      <c r="G17" s="64" t="n"/>
      <c r="H17" s="63">
        <f>IF(E17=F17,"✔ OK","✘ Fix it")</f>
        <v/>
      </c>
    </row>
    <row r="18" ht="15" customHeight="1" s="56">
      <c r="A18" s="65" t="inlineStr">
        <is>
          <t>Other status values</t>
        </is>
      </c>
      <c r="E18" s="63">
        <f>COUNTIF('T3a Marine_Stg'!N5:N16,"?*")+COUNTIF('T3b Rail_Stg'!N5:N14,"?*")+COUNTIFS('T3c Road_Stg'!N5:N19,"?*",'T3c Road_Stg'!P5:P19,"Y")-SUM(E15:E17)</f>
        <v/>
      </c>
      <c r="F18" s="100" t="n">
        <v>0</v>
      </c>
      <c r="G18" s="64" t="n"/>
      <c r="H18" s="63">
        <f>IF(AND(E18=0,E15+E16+E17=34),"✔ OK","✘ Fix it")</f>
        <v/>
      </c>
    </row>
    <row r="20" ht="15" customHeight="1" s="56">
      <c r="A20" s="65" t="inlineStr">
        <is>
          <t>Date trap</t>
        </is>
      </c>
      <c r="B20" s="64" t="inlineStr">
        <is>
          <t>MR-1003 date</t>
        </is>
      </c>
      <c r="F20" s="107">
        <f>'T3a Marine_Stg'!I7</f>
        <v/>
      </c>
      <c r="G20" s="108">
        <f>DATE(2026,2,3)</f>
        <v/>
      </c>
      <c r="H20" s="63">
        <f>IF(F20=G20,"✔ OK","✘ Fix it")</f>
        <v/>
      </c>
    </row>
    <row r="21" ht="15" customHeight="1" s="56">
      <c r="B21" s="64" t="inlineStr">
        <is>
          <t>MR-1012 date</t>
        </is>
      </c>
      <c r="F21" s="107">
        <f>'T3a Marine_Stg'!I16</f>
        <v/>
      </c>
      <c r="G21" s="108">
        <f>DATE(2026,2,13)</f>
        <v/>
      </c>
      <c r="H21" s="63">
        <f>IF(F21=G21,"✔ OK","✘ Fix it")</f>
        <v/>
      </c>
    </row>
  </sheetData>
  <mergeCells count="2">
    <mergeCell ref="A2:H2"/>
    <mergeCell ref="A11:H11"/>
  </mergeCells>
  <conditionalFormatting sqref="H5:H21">
    <cfRule type="expression" rank="0" priority="2" equalAverage="0" aboveAverage="0" dxfId="0" text="" percent="0" bottom="0">
      <formula>LEFT(H5,1)="✔"</formula>
    </cfRule>
    <cfRule type="expression" rank="0" priority="3" equalAverage="0" aboveAverage="0" dxfId="1" text="" percent="0" bottom="0">
      <formula>LEFT(H5,1)="✘"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55" min="1" max="1"/>
    <col width="34" customWidth="1" style="55" min="2" max="2"/>
    <col width="38" customWidth="1" style="55" min="3" max="3"/>
    <col width="32" customWidth="1" style="55" min="4" max="4"/>
    <col width="30" customWidth="1" style="55" min="5" max="5"/>
  </cols>
  <sheetData>
    <row r="1" ht="27.75" customHeight="1" s="56">
      <c r="A1" s="57" t="inlineStr">
        <is>
          <t>Task 5 · Trace the Lineage of One Number (5 min)</t>
        </is>
      </c>
    </row>
    <row r="2" ht="43.5" customHeight="1" s="56">
      <c r="A2" s="58" t="inlineStr">
        <is>
          <t>Metric: Total Freight = 578.65 tonnes (the card on the CEO dashboard). Fill each tier from the SOURCE down to the REPORT. Model answer idea: slide 29.</t>
        </is>
      </c>
    </row>
    <row r="4" ht="31.5" customHeight="1" s="56">
      <c r="A4" s="62" t="inlineStr">
        <is>
          <t>Tier</t>
        </is>
      </c>
      <c r="B4" s="62" t="inlineStr">
        <is>
          <t>What the data looks like here</t>
        </is>
      </c>
      <c r="C4" s="62" t="inlineStr">
        <is>
          <t>What changes here (transformation)</t>
        </is>
      </c>
      <c r="D4" s="62" t="inlineStr">
        <is>
          <t>Quality check you'd place here ✓</t>
        </is>
      </c>
      <c r="E4" s="62" t="inlineStr">
        <is>
          <t>Audit / lineage info you'd keep</t>
        </is>
      </c>
    </row>
    <row r="5" ht="57.75" customHeight="1" s="56">
      <c r="A5" s="109" t="inlineStr">
        <is>
          <t>Source files</t>
        </is>
      </c>
      <c r="B5" s="67" t="inlineStr">
        <is>
          <t>Marine 12 rows; Rail 10 shipment rows after two title rows; Road 15 raw lines including duplicate, blank, and TOTAL.</t>
        </is>
      </c>
      <c r="C5" s="67" t="inlineStr">
        <is>
          <t>Read-only source extracts; no source file edited.</t>
        </is>
      </c>
      <c r="D5" s="67" t="inlineStr">
        <is>
          <t>Raw counts captured and source names retained.</t>
        </is>
      </c>
      <c r="E5" s="67" t="inlineStr">
        <is>
          <t>marine_shipments.csv, rail_shipments.xlsx, road_shipments.csv</t>
        </is>
      </c>
    </row>
    <row r="6" ht="57.75" customHeight="1" s="56">
      <c r="A6" s="109" t="inlineStr">
        <is>
          <t>Staging</t>
        </is>
      </c>
      <c r="B6" s="67" t="inlineStr">
        <is>
          <t>Marine 12; Rail 10; Road 12 kept of 15. Dates, IDs, statuses, routes, costs and WeightKG conform.</t>
        </is>
      </c>
      <c r="C6" s="67" t="inlineStr">
        <is>
          <t>Parse dates; prefix/uppercase IDs; TRIM/PROPER statuses; Rail tons ? 1,000; mark Road rows Y/N with reasons.</t>
        </is>
      </c>
      <c r="D6" s="67" t="inlineStr">
        <is>
          <t>Road removed rows: rd-505 duplicate, blank row, TOTAL row; expected weights by source.</t>
        </is>
      </c>
      <c r="E6" s="67" t="inlineStr">
        <is>
          <t>Formula columns and SourceSystem audit column.</t>
        </is>
      </c>
    </row>
    <row r="7" ht="57.75" customHeight="1" s="56">
      <c r="A7" s="109" t="inlineStr">
        <is>
          <t>Storage (integrated)</t>
        </is>
      </c>
      <c r="B7" s="67" t="inlineStr">
        <is>
          <t>34 conformed shipment facts: 12 Marine + 10 Rail + 12 Road.</t>
        </is>
      </c>
      <c r="C7" s="67" t="inlineStr">
        <is>
          <t>Union the three staging contracts on ShipmentID, ShipDate, Origin, Destination, WeightKG, CostPKR, Status, SourceSystem.</t>
        </is>
      </c>
      <c r="D7" s="67" t="inlineStr">
        <is>
          <t>34 rows and 578,650 kg; no other status values.</t>
        </is>
      </c>
      <c r="E7" s="67" t="inlineStr">
        <is>
          <t>SourceSystem preserves row-level lineage.</t>
        </is>
      </c>
    </row>
    <row r="8" ht="57.75" customHeight="1" s="56">
      <c r="A8" s="109" t="inlineStr">
        <is>
          <t>Presentation</t>
        </is>
      </c>
      <c r="B8" s="67" t="inlineStr">
        <is>
          <t>Metric = SUM(WeightKG) / 1000.</t>
        </is>
      </c>
      <c r="C8" s="67" t="inlineStr">
        <is>
          <t>Aggregate the integrated fact by the selected report context.</t>
        </is>
      </c>
      <c r="D8" s="67" t="inlineStr">
        <is>
          <t>Reconcile before publishing; block if raw?removed?loaded or weight differs.</t>
        </is>
      </c>
      <c r="E8" s="67" t="inlineStr">
        <is>
          <t>Single shared metric definition.</t>
        </is>
      </c>
    </row>
    <row r="9" ht="57.75" customHeight="1" s="56">
      <c r="A9" s="109" t="inlineStr">
        <is>
          <t>Report</t>
        </is>
      </c>
      <c r="B9" s="67" t="inlineStr">
        <is>
          <t>Total Freight = 578.65 tonnes.</t>
        </is>
      </c>
      <c r="C9" s="67" t="inlineStr">
        <is>
          <t>Display the validated presentation measure.</t>
        </is>
      </c>
      <c r="D9" s="67" t="inlineStr">
        <is>
          <t>Control rejects a TOTAL row or unit mismatch before refresh completes.</t>
        </is>
      </c>
      <c r="E9" s="67" t="inlineStr">
        <is>
          <t>Dashboard card traces to integrated facts and source rows.</t>
        </is>
      </c>
    </row>
    <row r="11" ht="15" customHeight="1" s="56">
      <c r="A11" s="65" t="inlineStr">
        <is>
          <t>Convert rail tons to kilograms in Rail staging, where the source unit is known and the conformed contract is WeightKG; the dashboard should only aggregate a single canonical unit.</t>
        </is>
      </c>
      <c r="B11" s="87" t="n"/>
      <c r="C11" s="87" t="n"/>
      <c r="D11" s="87" t="n"/>
      <c r="E11" s="88" t="n"/>
    </row>
    <row r="12" ht="30" customHeight="1" s="56">
      <c r="A12" s="67" t="n"/>
      <c r="B12" s="87" t="n"/>
      <c r="C12" s="87" t="n"/>
      <c r="D12" s="87" t="n"/>
      <c r="E12" s="88" t="n"/>
    </row>
  </sheetData>
  <mergeCells count="3">
    <mergeCell ref="A11:E11"/>
    <mergeCell ref="A2:F2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5" min="1" max="1"/>
    <col width="11" customWidth="1" style="55" min="2" max="9"/>
  </cols>
  <sheetData>
    <row r="1" ht="27.75" customHeight="1" s="56">
      <c r="A1" s="57" t="inlineStr">
        <is>
          <t>Task 6 · Kimball Bus Matrix (7 min)</t>
        </is>
      </c>
    </row>
    <row r="2" ht="43.5" customHeight="1" s="56">
      <c r="A2" s="58" t="inlineStr">
        <is>
          <t>Rows = PakFreight business processes (each becomes one star schema). Columns = dimensions. Put X where a process needs that dimension. Dimensions used by many processes must be CONFORMED (built once, shared by all stars) — that is what stops stovepipes.</t>
        </is>
      </c>
    </row>
    <row r="4" ht="31.5" customHeight="1" s="56">
      <c r="A4" s="62" t="inlineStr">
        <is>
          <t>Business process (fact table)</t>
        </is>
      </c>
      <c r="B4" s="62" t="inlineStr">
        <is>
          <t>Date</t>
        </is>
      </c>
      <c r="C4" s="62" t="inlineStr">
        <is>
          <t>Customer</t>
        </is>
      </c>
      <c r="D4" s="62" t="inlineStr">
        <is>
          <t>Route</t>
        </is>
      </c>
      <c r="E4" s="62" t="inlineStr">
        <is>
          <t>Vehicle</t>
        </is>
      </c>
      <c r="F4" s="62" t="inlineStr">
        <is>
          <t>Driver</t>
        </is>
      </c>
      <c r="G4" s="62" t="inlineStr">
        <is>
          <t>Station / Port</t>
        </is>
      </c>
      <c r="H4" s="62" t="inlineStr">
        <is>
          <t>Commodity</t>
        </is>
      </c>
      <c r="I4" s="62" t="inlineStr">
        <is>
          <t>Dims used</t>
        </is>
      </c>
    </row>
    <row r="5" ht="15" customHeight="1" s="56">
      <c r="A5" s="65" t="inlineStr">
        <is>
          <t>Shipments</t>
        </is>
      </c>
      <c r="B5" s="66" t="inlineStr">
        <is>
          <t>X</t>
        </is>
      </c>
      <c r="C5" s="66" t="inlineStr">
        <is>
          <t>X</t>
        </is>
      </c>
      <c r="D5" s="66" t="inlineStr">
        <is>
          <t>X</t>
        </is>
      </c>
      <c r="E5" s="66" t="inlineStr">
        <is>
          <t>X</t>
        </is>
      </c>
      <c r="F5" s="66" t="n"/>
      <c r="G5" s="66" t="inlineStr">
        <is>
          <t>X</t>
        </is>
      </c>
      <c r="H5" s="66" t="inlineStr">
        <is>
          <t>X</t>
        </is>
      </c>
      <c r="I5" s="63">
        <f>COUNTIF(B5:H5,"X")</f>
        <v/>
      </c>
    </row>
    <row r="6" ht="15" customHeight="1" s="56">
      <c r="A6" s="65" t="inlineStr">
        <is>
          <t>Billing &amp; Invoicing</t>
        </is>
      </c>
      <c r="B6" s="110" t="inlineStr">
        <is>
          <t>X</t>
        </is>
      </c>
      <c r="C6" s="110" t="inlineStr">
        <is>
          <t>X</t>
        </is>
      </c>
      <c r="D6" s="110" t="inlineStr">
        <is>
          <t>X</t>
        </is>
      </c>
      <c r="E6" s="110" t="inlineStr">
        <is>
          <t>X</t>
        </is>
      </c>
      <c r="F6" s="110" t="n"/>
      <c r="G6" s="110" t="inlineStr">
        <is>
          <t>X</t>
        </is>
      </c>
      <c r="H6" s="110" t="inlineStr">
        <is>
          <t>X</t>
        </is>
      </c>
      <c r="I6" s="63">
        <f>COUNTIF(B6:H6,"X")</f>
        <v/>
      </c>
    </row>
    <row r="7" ht="15" customHeight="1" s="56">
      <c r="A7" s="65" t="inlineStr">
        <is>
          <t>Fleet Maintenance</t>
        </is>
      </c>
      <c r="B7" s="110" t="inlineStr">
        <is>
          <t>X</t>
        </is>
      </c>
      <c r="C7" s="110" t="n"/>
      <c r="D7" s="110" t="n"/>
      <c r="E7" s="110" t="inlineStr">
        <is>
          <t>X</t>
        </is>
      </c>
      <c r="F7" s="110" t="inlineStr">
        <is>
          <t>X</t>
        </is>
      </c>
      <c r="G7" s="110" t="inlineStr">
        <is>
          <t>X</t>
        </is>
      </c>
      <c r="H7" s="110" t="n"/>
      <c r="I7" s="63">
        <f>COUNTIF(B7:H7,"X")</f>
        <v/>
      </c>
    </row>
    <row r="8" ht="15" customHeight="1" s="56">
      <c r="A8" s="65" t="inlineStr">
        <is>
          <t>Fuel Purchases</t>
        </is>
      </c>
      <c r="B8" s="110" t="inlineStr">
        <is>
          <t>X</t>
        </is>
      </c>
      <c r="C8" s="110" t="n"/>
      <c r="D8" s="110" t="n"/>
      <c r="E8" s="110" t="inlineStr">
        <is>
          <t>X</t>
        </is>
      </c>
      <c r="F8" s="110" t="n"/>
      <c r="G8" s="110" t="inlineStr">
        <is>
          <t>X</t>
        </is>
      </c>
      <c r="H8" s="110" t="n"/>
      <c r="I8" s="63">
        <f>COUNTIF(B8:H8,"X")</f>
        <v/>
      </c>
    </row>
    <row r="9" ht="15" customHeight="1" s="56">
      <c r="A9" s="65" t="inlineStr">
        <is>
          <t>Driver Trips &amp; Hours</t>
        </is>
      </c>
      <c r="B9" s="110" t="inlineStr">
        <is>
          <t>X</t>
        </is>
      </c>
      <c r="C9" s="110" t="inlineStr">
        <is>
          <t>X</t>
        </is>
      </c>
      <c r="D9" s="110" t="inlineStr">
        <is>
          <t>X</t>
        </is>
      </c>
      <c r="E9" s="110" t="inlineStr">
        <is>
          <t>X</t>
        </is>
      </c>
      <c r="F9" s="110" t="inlineStr">
        <is>
          <t>X</t>
        </is>
      </c>
      <c r="G9" s="110" t="inlineStr">
        <is>
          <t>X</t>
        </is>
      </c>
      <c r="H9" s="110" t="inlineStr">
        <is>
          <t>X</t>
        </is>
      </c>
      <c r="I9" s="63">
        <f>COUNTIF(B9:H9,"X")</f>
        <v/>
      </c>
    </row>
    <row r="10" ht="15" customHeight="1" s="56">
      <c r="A10" s="65" t="inlineStr">
        <is>
          <t>Customer Complaints</t>
        </is>
      </c>
      <c r="B10" s="110" t="inlineStr">
        <is>
          <t>X</t>
        </is>
      </c>
      <c r="C10" s="110" t="inlineStr">
        <is>
          <t>X</t>
        </is>
      </c>
      <c r="D10" s="110" t="inlineStr">
        <is>
          <t>X</t>
        </is>
      </c>
      <c r="E10" s="110" t="n"/>
      <c r="F10" s="110" t="n"/>
      <c r="G10" s="110" t="inlineStr">
        <is>
          <t>X</t>
        </is>
      </c>
      <c r="H10" s="110" t="inlineStr">
        <is>
          <t>X</t>
        </is>
      </c>
      <c r="I10" s="63">
        <f>COUNTIF(B10:H10,"X")</f>
        <v/>
      </c>
    </row>
    <row r="11" ht="15" customHeight="1" s="56">
      <c r="A11" s="83" t="inlineStr">
        <is>
          <t>Processes using this dim</t>
        </is>
      </c>
      <c r="B11" s="111">
        <f>COUNTIF(B5:B10,"X")</f>
        <v/>
      </c>
      <c r="C11" s="111">
        <f>COUNTIF(C5:C10,"X")</f>
        <v/>
      </c>
      <c r="D11" s="111">
        <f>COUNTIF(D5:D10,"X")</f>
        <v/>
      </c>
      <c r="E11" s="111">
        <f>COUNTIF(E5:E10,"X")</f>
        <v/>
      </c>
      <c r="F11" s="111">
        <f>COUNTIF(F5:F10,"X")</f>
        <v/>
      </c>
      <c r="G11" s="111">
        <f>COUNTIF(G5:G10,"X")</f>
        <v/>
      </c>
      <c r="H11" s="111">
        <f>COUNTIF(H5:H10,"X")</f>
        <v/>
      </c>
      <c r="I11" s="84" t="n"/>
    </row>
    <row r="12" ht="15" customHeight="1" s="56">
      <c r="A12" s="106" t="inlineStr">
        <is>
          <t>Row 1 (Shipments) is filled as an example.</t>
        </is>
      </c>
    </row>
    <row r="14" ht="15" customHeight="1" s="56">
      <c r="A14" s="65" t="inlineStr">
        <is>
          <t>Date is used by every process because time is the common reporting axis and a conformed Date dimension makes periods comparable across stars.</t>
        </is>
      </c>
      <c r="B14" s="87" t="n"/>
      <c r="C14" s="87" t="n"/>
      <c r="D14" s="87" t="n"/>
      <c r="E14" s="87" t="n"/>
      <c r="F14" s="87" t="n"/>
      <c r="G14" s="87" t="n"/>
      <c r="H14" s="87" t="n"/>
      <c r="I14" s="88" t="n"/>
    </row>
    <row r="15" ht="27.75" customHeight="1" s="56">
      <c r="A15" s="67" t="n"/>
      <c r="B15" s="87" t="n"/>
      <c r="C15" s="87" t="n"/>
      <c r="D15" s="87" t="n"/>
      <c r="E15" s="87" t="n"/>
      <c r="F15" s="87" t="n"/>
      <c r="G15" s="87" t="n"/>
      <c r="H15" s="87" t="n"/>
      <c r="I15" s="88" t="n"/>
    </row>
    <row r="16" ht="15" customHeight="1" s="56">
      <c r="A16" s="65" t="inlineStr">
        <is>
          <t>Finance, Operations and Sales must conform Date, Shipment/Customer identity, and the shipment weight/unit definition; Route is also needed for comparable operational reporting.</t>
        </is>
      </c>
      <c r="B16" s="87" t="n"/>
      <c r="C16" s="87" t="n"/>
      <c r="D16" s="87" t="n"/>
      <c r="E16" s="87" t="n"/>
      <c r="F16" s="87" t="n"/>
      <c r="G16" s="87" t="n"/>
      <c r="H16" s="87" t="n"/>
      <c r="I16" s="88" t="n"/>
    </row>
    <row r="17" ht="27.75" customHeight="1" s="56">
      <c r="A17" s="67" t="n"/>
      <c r="B17" s="87" t="n"/>
      <c r="C17" s="87" t="n"/>
      <c r="D17" s="87" t="n"/>
      <c r="E17" s="87" t="n"/>
      <c r="F17" s="87" t="n"/>
      <c r="G17" s="87" t="n"/>
      <c r="H17" s="87" t="n"/>
      <c r="I17" s="88" t="n"/>
    </row>
    <row r="18" ht="15" customHeight="1" s="56">
      <c r="A18" s="65" t="inlineStr">
        <is>
          <t>No. Bottom-up means build process-specific stars incrementally, but the bus matrix plans shared dimensions first and proves where conformance is required.</t>
        </is>
      </c>
      <c r="B18" s="87" t="n"/>
      <c r="C18" s="87" t="n"/>
      <c r="D18" s="87" t="n"/>
      <c r="E18" s="87" t="n"/>
      <c r="F18" s="87" t="n"/>
      <c r="G18" s="87" t="n"/>
      <c r="H18" s="87" t="n"/>
      <c r="I18" s="88" t="n"/>
    </row>
    <row r="19" ht="27.75" customHeight="1" s="56">
      <c r="A19" s="67" t="n"/>
      <c r="B19" s="87" t="n"/>
      <c r="C19" s="87" t="n"/>
      <c r="D19" s="87" t="n"/>
      <c r="E19" s="87" t="n"/>
      <c r="F19" s="87" t="n"/>
      <c r="G19" s="87" t="n"/>
      <c r="H19" s="87" t="n"/>
      <c r="I19" s="88" t="n"/>
    </row>
    <row r="20" ht="15" customHeight="1" s="56">
      <c r="A20" s="65" t="inlineStr">
        <is>
          <t>Shipments first: it directly answers the COO's operational question and provides the canonical shipment and WeightKG facts that Billing can reuse.</t>
        </is>
      </c>
      <c r="B20" s="87" t="n"/>
      <c r="C20" s="87" t="n"/>
      <c r="D20" s="87" t="n"/>
      <c r="E20" s="87" t="n"/>
      <c r="F20" s="87" t="n"/>
      <c r="G20" s="87" t="n"/>
      <c r="H20" s="87" t="n"/>
      <c r="I20" s="88" t="n"/>
    </row>
    <row r="21" ht="27.75" customHeight="1" s="56">
      <c r="A21" s="67" t="n"/>
      <c r="B21" s="87" t="n"/>
      <c r="C21" s="87" t="n"/>
      <c r="D21" s="87" t="n"/>
      <c r="E21" s="87" t="n"/>
      <c r="F21" s="87" t="n"/>
      <c r="G21" s="87" t="n"/>
      <c r="H21" s="87" t="n"/>
      <c r="I21" s="88" t="n"/>
    </row>
  </sheetData>
  <mergeCells count="9">
    <mergeCell ref="A15:I15"/>
    <mergeCell ref="A19:I19"/>
    <mergeCell ref="A2:I2"/>
    <mergeCell ref="A14:I14"/>
    <mergeCell ref="A17:I17"/>
    <mergeCell ref="A18:I18"/>
    <mergeCell ref="A20:I20"/>
    <mergeCell ref="A21:I21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55" min="1" max="1"/>
    <col width="70" customWidth="1" style="55" min="2" max="2"/>
    <col width="20" customWidth="1" style="55" min="3" max="3"/>
    <col width="46" customWidth="1" style="55" min="4" max="4"/>
  </cols>
  <sheetData>
    <row r="1" ht="27.75" customHeight="1" s="56">
      <c r="A1" s="57" t="inlineStr">
        <is>
          <t>Task 7 · Inmon, Kimball or Hybrid? (5 min)</t>
        </is>
      </c>
    </row>
    <row r="2" ht="43.5" customHeight="1" s="56">
      <c r="A2" s="58" t="inlineStr">
        <is>
          <t>Pick from the drop-down for each statement and give a one-line reason. Your teacher will reveal the answers.</t>
        </is>
      </c>
    </row>
    <row r="4" ht="31.5" customHeight="1" s="56">
      <c r="A4" s="62" t="inlineStr">
        <is>
          <t>#</t>
        </is>
      </c>
      <c r="B4" s="62" t="inlineStr">
        <is>
          <t>Statement / scenario</t>
        </is>
      </c>
      <c r="C4" s="62" t="inlineStr">
        <is>
          <t>Inmon · Kimball · Hybrid</t>
        </is>
      </c>
      <c r="D4" s="62" t="inlineStr">
        <is>
          <t>Why? (one line)</t>
        </is>
      </c>
    </row>
    <row r="5" ht="31.5" customHeight="1" s="56">
      <c r="A5" s="63" t="n">
        <v>1</v>
      </c>
      <c r="B5" s="64" t="inlineStr">
        <is>
          <t>A bank must integrate 40 systems into one enterprise model for regulators before anyone builds reports.</t>
        </is>
      </c>
      <c r="C5" s="110" t="inlineStr">
        <is>
          <t>Inmon</t>
        </is>
      </c>
      <c r="D5" s="67" t="inlineStr">
        <is>
          <t>Enterprise integration and governance precede reports; the regulator needs a central EDW.</t>
        </is>
      </c>
    </row>
    <row r="6" ht="31.5" customHeight="1" s="56">
      <c r="A6" s="63" t="n">
        <v>2</v>
      </c>
      <c r="B6" s="64" t="inlineStr">
        <is>
          <t>PakFreight's COO wants a useful shipments dashboard within 3 months.</t>
        </is>
      </c>
      <c r="C6" s="110" t="inlineStr">
        <is>
          <t>Kimball</t>
        </is>
      </c>
      <c r="D6" s="67" t="inlineStr">
        <is>
          <t>A focused shipments star can deliver value quickly.</t>
        </is>
      </c>
    </row>
    <row r="7" ht="31.5" customHeight="1" s="56">
      <c r="A7" s="63" t="n">
        <v>3</v>
      </c>
      <c r="B7" s="64" t="inlineStr">
        <is>
          <t>The core warehouse is stored in normalised third normal form (3NF).</t>
        </is>
      </c>
      <c r="C7" s="110" t="inlineStr">
        <is>
          <t>Inmon</t>
        </is>
      </c>
      <c r="D7" s="67" t="inlineStr">
        <is>
          <t>3NF is the normalized enterprise warehouse pattern.</t>
        </is>
      </c>
    </row>
    <row r="8" ht="31.5" customHeight="1" s="56">
      <c r="A8" s="63" t="n">
        <v>4</v>
      </c>
      <c r="B8" s="64" t="inlineStr">
        <is>
          <t>Data marts ARE the presentation area, tied together by conformed dimensions.</t>
        </is>
      </c>
      <c r="C8" s="110" t="inlineStr">
        <is>
          <t>Kimball</t>
        </is>
      </c>
      <c r="D8" s="67" t="inlineStr">
        <is>
          <t>Conformed dimensions tie dependent marts together in the presentation layer.</t>
        </is>
      </c>
    </row>
    <row r="9" ht="31.5" customHeight="1" s="56">
      <c r="A9" s="63" t="n">
        <v>5</v>
      </c>
      <c r="B9" s="64" t="inlineStr">
        <is>
          <t>The bus matrix is planned for the whole company, but built one process at a time.</t>
        </is>
      </c>
      <c r="C9" s="110" t="inlineStr">
        <is>
          <t>Hybrid</t>
        </is>
      </c>
      <c r="D9" s="67" t="inlineStr">
        <is>
          <t>The bus is planned enterprise-wide but stars are delivered process by process.</t>
        </is>
      </c>
    </row>
    <row r="10" ht="31.5" customHeight="1" s="56">
      <c r="A10" s="63" t="n">
        <v>6</v>
      </c>
      <c r="B10" s="64" t="inlineStr">
        <is>
          <t>Departments get dependent marts that are derived from the central EDW.</t>
        </is>
      </c>
      <c r="C10" s="110" t="inlineStr">
        <is>
          <t>Inmon</t>
        </is>
      </c>
      <c r="D10" s="67" t="inlineStr">
        <is>
          <t>Dependent marts derive from the central EDW.</t>
        </is>
      </c>
    </row>
    <row r="11" ht="31.5" customHeight="1" s="56">
      <c r="A11" s="63" t="n">
        <v>7</v>
      </c>
      <c r="B11" s="64" t="inlineStr">
        <is>
          <t>Biggest risk: a long wait before users see any value.</t>
        </is>
      </c>
      <c r="C11" s="110" t="inlineStr">
        <is>
          <t>Inmon</t>
        </is>
      </c>
      <c r="D11" s="67" t="inlineStr">
        <is>
          <t>Central integration can delay visible business value.</t>
        </is>
      </c>
    </row>
    <row r="12" ht="31.5" customHeight="1" s="56">
      <c r="A12" s="63" t="n">
        <v>8</v>
      </c>
      <c r="B12" s="64" t="inlineStr">
        <is>
          <t>Biggest risk: sliding back into stovepipes if teams ignore conformance.</t>
        </is>
      </c>
      <c r="C12" s="110" t="inlineStr">
        <is>
          <t>Kimball</t>
        </is>
      </c>
      <c r="D12" s="67" t="inlineStr">
        <is>
          <t>Ignoring conformance recreates stovepipes.</t>
        </is>
      </c>
    </row>
    <row r="13" ht="31.5" customHeight="1" s="56">
      <c r="A13" s="63" t="n">
        <v>9</v>
      </c>
      <c r="B13" s="64" t="inlineStr">
        <is>
          <t>Start from the data; users discover real requirements after they see it (CLDS).</t>
        </is>
      </c>
      <c r="C13" s="110" t="inlineStr">
        <is>
          <t>Kimball</t>
        </is>
      </c>
      <c r="D13" s="67" t="inlineStr">
        <is>
          <t>CLDS starts from available data and learns requirements through delivery.</t>
        </is>
      </c>
    </row>
    <row r="14" ht="31.5" customHeight="1" s="56">
      <c r="A14" s="63" t="n">
        <v>10</v>
      </c>
      <c r="B14" s="64" t="inlineStr">
        <is>
          <t>Bronze raw files → Silver cleaned &amp; integrated tables → Gold star schemas in Microsoft Fabric.</t>
        </is>
      </c>
      <c r="C14" s="110" t="n"/>
      <c r="D14" s="67" t="n"/>
    </row>
  </sheetData>
  <mergeCells count="1">
    <mergeCell ref="A2:D2"/>
  </mergeCells>
  <dataValidations count="1">
    <dataValidation sqref="C5:C14" showDropDown="0" showInputMessage="0" showErrorMessage="0" allowBlank="1" type="list" errorStyle="stop" operator="between">
      <formula1>"Inmon,Kimball,Hybrid"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2026-10-03T01:44:29Z</dcterms:created>
  <dcterms:modified xsi:type="dcterms:W3CDTF">2026-10-20T17:22:18Z</dcterms:modified>
  <cp:revision>0</cp:revision>
</cp:coreProperties>
</file>